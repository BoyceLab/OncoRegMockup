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s &amp; Links" sheetId="2" state="visible" r:id="rId4"/>
    <sheet name="Master Catalog" sheetId="3" state="visible" r:id="rId5"/>
    <sheet name="NAACCR" sheetId="4" state="visible" r:id="rId6"/>
    <sheet name="NCI caDSR" sheetId="5" state="visible" r:id="rId7"/>
    <sheet name="AoU - The Basics" sheetId="6" state="visible" r:id="rId8"/>
    <sheet name="AoU - Modules" sheetId="7" state="visible" r:id="rId9"/>
    <sheet name="Harmonized" sheetId="8" state="visible" r:id="rId10"/>
    <sheet name="OncoRegistry Instruments" sheetId="9" state="visible" r:id="rId11"/>
    <sheet name="REDCap Import Template" sheetId="10" state="visible" r:id="rId12"/>
    <sheet name="Dashboar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<sst xmlns="http://schemas.openxmlformats.org/spreadsheetml/2006/main" count="3393" uniqueCount="811">
  <si>
    <t xml:space="preserve">OncoRegistry — Harmonized Data Dictionary Workbook</t>
  </si>
  <si>
    <t xml:space="preserve">A searchable catalog of the cancer registry data dictionaries reconciled in this project, with source links. Built to be filtered, picked from, and imported into REDCap.</t>
  </si>
  <si>
    <t xml:space="preserve">How to use this workbook</t>
  </si>
  <si>
    <t xml:space="preserve">1. Search and filter</t>
  </si>
  <si>
    <t xml:space="preserve">Every data sheet is an Excel table. Click any column's filter arrow to search or narrow by source, domain, type, or capture method. Use Excel Find (Ctrl/Cmd+F) across a sheet.</t>
  </si>
  <si>
    <t xml:space="preserve">2. Pick elements</t>
  </si>
  <si>
    <t xml:space="preserve">On the Master Catalog sheet, mark the 'Add to my dictionary?' column Y for any element you want. The Dashboard counts your selections.</t>
  </si>
  <si>
    <t xml:space="preserve">3. Build your REDCap dictionary</t>
  </si>
  <si>
    <t xml:space="preserve">Copy the rows you want from 'REDCap Import Template' (or 'OncoRegistry Instruments') into a new file and import into your REDCap project. Both sheets use the standard REDCap data dictionary columns.</t>
  </si>
  <si>
    <t xml:space="preserve">4. Expand</t>
  </si>
  <si>
    <t xml:space="preserve">Use the Sources &amp; Links sheet to open the live registries (NAACCR, NCI caDSR II, All of Us) and pull additional elements or exact identifiers.</t>
  </si>
  <si>
    <t xml:space="preserve">Sheets in this workbook</t>
  </si>
  <si>
    <t xml:space="preserve">Sources &amp; Links</t>
  </si>
  <si>
    <t xml:space="preserve">Every authoritative source with its official URL.</t>
  </si>
  <si>
    <t xml:space="preserve">Master Catalog</t>
  </si>
  <si>
    <t xml:space="preserve">All elements from all sources in one searchable table, deduplicated by variable, with a pick column.</t>
  </si>
  <si>
    <t xml:space="preserve">NAACCR</t>
  </si>
  <si>
    <t xml:space="preserve">Verified NAACCR data items with item numbers and links to each item page.</t>
  </si>
  <si>
    <t xml:space="preserve">NCI caDSR</t>
  </si>
  <si>
    <t xml:space="preserve">PRO-CTCAE and drug-repurposing / medication elements with verified caDSR form Public IDs.</t>
  </si>
  <si>
    <t xml:space="preserve">All of Us – The Basics</t>
  </si>
  <si>
    <t xml:space="preserve">The element-complete Basics demographic survey with original instrument sources.</t>
  </si>
  <si>
    <t xml:space="preserve">All of Us – Modules</t>
  </si>
  <si>
    <t xml:space="preserve">Catalog of All of Us PPI survey modules with descriptions and dictionary links.</t>
  </si>
  <si>
    <t xml:space="preserve">Harmonized (reconciled)</t>
  </si>
  <si>
    <t xml:space="preserve">The cross-source reconciliation: each element with NAACCR / NCI / All of Us / Project attribution.</t>
  </si>
  <si>
    <t xml:space="preserve">OncoRegistry Instruments</t>
  </si>
  <si>
    <t xml:space="preserve">The project's as-built instruments in REDCap data dictionary format.</t>
  </si>
  <si>
    <t xml:space="preserve">REDCap Import Template</t>
  </si>
  <si>
    <t xml:space="preserve">The harmonized set in REDCap import format, with source attribution in Field Annotation.</t>
  </si>
  <si>
    <t xml:space="preserve">Dashboard</t>
  </si>
  <si>
    <t xml:space="preserve">Live counts by source and of your selections.</t>
  </si>
  <si>
    <t xml:space="preserve">Scope and honesty</t>
  </si>
  <si>
    <t xml:space="preserve">Item numbers verified against apps.naaccr.org and stable across versions 22 to 25. Summary Stage 2018 and SSDIs apply to 2018+ diagnoses.</t>
  </si>
  <si>
    <t xml:space="preserve">Holds tens of thousands of CDEs. Included here is a verified oncology-relevant subset. Form Public IDs are real; item-level CDE Public IDs should be pulled from caDSR II.</t>
  </si>
  <si>
    <t xml:space="preserve">All of Us</t>
  </si>
  <si>
    <t xml:space="preserve">The CDR dictionaries ship thousands of fields per release. The Basics is element-complete here; other modules are cataloged at the module level with links.</t>
  </si>
  <si>
    <t xml:space="preserve">Affiliation</t>
  </si>
  <si>
    <t xml:space="preserve">Not affiliated with REDCap, Vanderbilt, NAACCR, NCI, or the All of Us Research Program. A demonstration and planning artifact.</t>
  </si>
  <si>
    <t xml:space="preserve">Source / standard</t>
  </si>
  <si>
    <t xml:space="preserve">What it provides</t>
  </si>
  <si>
    <t xml:space="preserve">Resource</t>
  </si>
  <si>
    <t xml:space="preserve">URL</t>
  </si>
  <si>
    <t xml:space="preserve">Notes</t>
  </si>
  <si>
    <t xml:space="preserve">Cancer registry data items, codes, item numbers</t>
  </si>
  <si>
    <t xml:space="preserve">Data Dictionary (Volume II)</t>
  </si>
  <si>
    <t xml:space="preserve">https://apps.naaccr.org/data-dictionary/</t>
  </si>
  <si>
    <t xml:space="preserve">Search by item number or name; versions 22-25</t>
  </si>
  <si>
    <t xml:space="preserve">Full PDF of the data standards</t>
  </si>
  <si>
    <t xml:space="preserve">NAACCR Data Dictionary PDF</t>
  </si>
  <si>
    <t xml:space="preserve">https://www.naaccr.org/wp-content/uploads/2025/04/NAACCRDataDictionary.pdf</t>
  </si>
  <si>
    <t xml:space="preserve">Common Data Elements (CDEs) built on ISO/IEC 11179, NCIt concepts</t>
  </si>
  <si>
    <t xml:space="preserve">caDSR II</t>
  </si>
  <si>
    <t xml:space="preserve">https://cadsr.cancer.gov/</t>
  </si>
  <si>
    <t xml:space="preserve">Browse, search, export forms (including REDCap format)</t>
  </si>
  <si>
    <t xml:space="preserve">Search CDEs and find exact Public IDs</t>
  </si>
  <si>
    <t xml:space="preserve">caDSR II (search)</t>
  </si>
  <si>
    <t xml:space="preserve">Search by name, concept, or context (NCTN, TCGA, etc.)</t>
  </si>
  <si>
    <t xml:space="preserve">Programmatic query of CDEs and forms</t>
  </si>
  <si>
    <t xml:space="preserve">caDSR API</t>
  </si>
  <si>
    <t xml:space="preserve">https://cadsrapi.cancer.gov/</t>
  </si>
  <si>
    <t xml:space="preserve">REST; returns HTML, XML, JSON</t>
  </si>
  <si>
    <t xml:space="preserve">Form downloads and REDCap transformation utility</t>
  </si>
  <si>
    <t xml:space="preserve">caDSR Data Standards &amp; Downloads</t>
  </si>
  <si>
    <t xml:space="preserve">https://wiki.nci.nih.gov/pages/viewpage.action?pageId=309494141</t>
  </si>
  <si>
    <t xml:space="preserve">Lists NCI CRF Public IDs (e.g., Concomitant Medication 2867231)</t>
  </si>
  <si>
    <t xml:space="preserve">NCI</t>
  </si>
  <si>
    <t xml:space="preserve">Overview of caDSR / NCIt metadata services</t>
  </si>
  <si>
    <t xml:space="preserve">Metadata Services for Cancer Research</t>
  </si>
  <si>
    <t xml:space="preserve">https://www.cancer.gov/about-nci/organization/cbiit/vocabulary/metadata</t>
  </si>
  <si>
    <t xml:space="preserve">NCI PRO</t>
  </si>
  <si>
    <t xml:space="preserve">PRO-CTCAE measurement system (124 items, 78 symptoms)</t>
  </si>
  <si>
    <t xml:space="preserve">PRO-CTCAE</t>
  </si>
  <si>
    <t xml:space="preserve">https://healthcaredelivery.cancer.gov/pro-ctcae/</t>
  </si>
  <si>
    <t xml:space="preserve">Patient-reported companion to CTCAE</t>
  </si>
  <si>
    <t xml:space="preserve">CDR data dictionaries (OMOP-based), all tiers</t>
  </si>
  <si>
    <t xml:space="preserve">Data Dictionaries</t>
  </si>
  <si>
    <t xml:space="preserve">https://support.researchallofus.org/hc/en-us/articles/360033200232-Data-Dictionaries</t>
  </si>
  <si>
    <t xml:space="preserve">Controlled and Registered Tier v8 spreadsheets</t>
  </si>
  <si>
    <t xml:space="preserve">Browse all survey instruments</t>
  </si>
  <si>
    <t xml:space="preserve">Survey Explorer</t>
  </si>
  <si>
    <t xml:space="preserve">https://www.researchallofus.org/data-tools/survey-explorer/</t>
  </si>
  <si>
    <t xml:space="preserve">The Basics survey detail and codebook</t>
  </si>
  <si>
    <t xml:space="preserve">The Basics resources</t>
  </si>
  <si>
    <t xml:space="preserve">https://support.researchallofus.org/hc/en-us/articles/6085285773204-The-Basics-Baseline-Survey-Details-and-Resources</t>
  </si>
  <si>
    <t xml:space="preserve">73 items; OMOP PPI concept_ids</t>
  </si>
  <si>
    <t xml:space="preserve">The Basics source instrument (PDF)</t>
  </si>
  <si>
    <t xml:space="preserve">The Basics source PDF</t>
  </si>
  <si>
    <t xml:space="preserve">https://researchallofus.org/wp-content/themes/research-hub-wordpress-theme/media/surveys/Survey_Basics_Eng_Src.pdf</t>
  </si>
  <si>
    <t xml:space="preserve">Question text and original instrument sources</t>
  </si>
  <si>
    <t xml:space="preserve">Lifestyle survey (smoking, alcohol, drugs)</t>
  </si>
  <si>
    <t xml:space="preserve">Lifestyle resources</t>
  </si>
  <si>
    <t xml:space="preserve">https://support.researchallofus.org/hc/en-us/articles/6085586512660-Lifestyle-Baseline-Survey-Details-and-Resources</t>
  </si>
  <si>
    <t xml:space="preserve">Overall Health survey</t>
  </si>
  <si>
    <t xml:space="preserve">Overall Health resources</t>
  </si>
  <si>
    <t xml:space="preserve">https://support.researchallofus.org/hc/en-us/articles/6085831989524-Overall-Health-Baseline-Survey-Details-and-Resources</t>
  </si>
  <si>
    <t xml:space="preserve">Emotional Health and Well-Being (GAD-7, PHQ-9)</t>
  </si>
  <si>
    <t xml:space="preserve">Emotional Health resources</t>
  </si>
  <si>
    <t xml:space="preserve">https://support.researchallofus.org/hc/en-us/articles/29384465580564-Emotional-Health-History-and-Well-Being-Follow-Up-Survey-Details-and-Resources</t>
  </si>
  <si>
    <t xml:space="preserve">Domain / Instrument</t>
  </si>
  <si>
    <t xml:space="preserve">Element label</t>
  </si>
  <si>
    <t xml:space="preserve">Variable</t>
  </si>
  <si>
    <t xml:space="preserve">Field type</t>
  </si>
  <si>
    <t xml:space="preserve">Choices / permissible values</t>
  </si>
  <si>
    <t xml:space="preserve">NAACCR item #</t>
  </si>
  <si>
    <t xml:space="preserve">caDSR ref</t>
  </si>
  <si>
    <t xml:space="preserve">All of Us module</t>
  </si>
  <si>
    <t xml:space="preserve">Source set</t>
  </si>
  <si>
    <t xml:space="preserve">Captured by</t>
  </si>
  <si>
    <t xml:space="preserve">Branching logic</t>
  </si>
  <si>
    <t xml:space="preserve">Origin</t>
  </si>
  <si>
    <t xml:space="preserve">Source URL</t>
  </si>
  <si>
    <t xml:space="preserve">Add to my dictionary? (Y/N)</t>
  </si>
  <si>
    <t xml:space="preserve">Demographics</t>
  </si>
  <si>
    <t xml:space="preserve">Date consent signed</t>
  </si>
  <si>
    <t xml:space="preserve">consent_date</t>
  </si>
  <si>
    <t xml:space="preserve">text</t>
  </si>
  <si>
    <t xml:space="preserve">Project</t>
  </si>
  <si>
    <t xml:space="preserve">Survey</t>
  </si>
  <si>
    <t xml:space="preserve">OncoRegistry instrument</t>
  </si>
  <si>
    <t xml:space="preserve">Date of Birth</t>
  </si>
  <si>
    <t xml:space="preserve">dob</t>
  </si>
  <si>
    <t xml:space="preserve">240</t>
  </si>
  <si>
    <t xml:space="preserve">EHR + Survey</t>
  </si>
  <si>
    <t xml:space="preserve">Self-reported, reconciled against EHR Patient.birthDate; @NAACCR=240</t>
  </si>
  <si>
    <t xml:space="preserve">https://apps.naaccr.org/data-dictionary/data-dictionary/version=25/data-item-view/item-number=240/</t>
  </si>
  <si>
    <t xml:space="preserve">Sex</t>
  </si>
  <si>
    <t xml:space="preserve">sex_birth</t>
  </si>
  <si>
    <t xml:space="preserve">radio</t>
  </si>
  <si>
    <t xml:space="preserve">1, Female | 2, Male | 3, Intersex | 4, Prefer not to answer</t>
  </si>
  <si>
    <t xml:space="preserve">220</t>
  </si>
  <si>
    <t xml:space="preserve">NAACCR Sex; survey self-report plus EHR Patient.gender; @NAACCR=220</t>
  </si>
  <si>
    <t xml:space="preserve">https://apps.naaccr.org/data-dictionary/data-dictionary/version=25/data-item-view/item-number=220/</t>
  </si>
  <si>
    <t xml:space="preserve">Gender identity</t>
  </si>
  <si>
    <t xml:space="preserve">gender</t>
  </si>
  <si>
    <t xml:space="preserve">dropdown</t>
  </si>
  <si>
    <t xml:space="preserve">1, Woman | 2, Man | 3, Nonbinary | 4, Self-describe | 5, Prefer not to answer</t>
  </si>
  <si>
    <t xml:space="preserve">Survey only; not a core NAACCR item</t>
  </si>
  <si>
    <t xml:space="preserve">Race (select all that apply)</t>
  </si>
  <si>
    <t xml:space="preserve">race</t>
  </si>
  <si>
    <t xml:space="preserve">checkbox</t>
  </si>
  <si>
    <t xml:space="preserve">1, American Indian or Alaska Native | 2, Asian | 3, Black or African American | 4, Native Hawaiian or Pacific Islander | 5, White | 6, Other</t>
  </si>
  <si>
    <t xml:space="preserve">160</t>
  </si>
  <si>
    <t xml:space="preserve">Maps to Race 1-5 [160-164]; self-report preferred; @NAACCR=160</t>
  </si>
  <si>
    <t xml:space="preserve">https://apps.naaccr.org/data-dictionary/data-dictionary/version=25/data-item-view/item-number=160/</t>
  </si>
  <si>
    <t xml:space="preserve">Hispanic or Latino origin</t>
  </si>
  <si>
    <t xml:space="preserve">ethnicity</t>
  </si>
  <si>
    <t xml:space="preserve">1, Hispanic or Latino | 2, Not Hispanic or Latino | 3, Prefer not to answer</t>
  </si>
  <si>
    <t xml:space="preserve">190</t>
  </si>
  <si>
    <t xml:space="preserve">Self-report is the preferred source for Spanish/Hispanic Origin; @NAACCR=190</t>
  </si>
  <si>
    <t xml:space="preserve">https://apps.naaccr.org/data-dictionary/data-dictionary/version=25/data-item-view/item-number=190/</t>
  </si>
  <si>
    <t xml:space="preserve">First 3 digits of home ZIP code</t>
  </si>
  <si>
    <t xml:space="preserve">zip3</t>
  </si>
  <si>
    <t xml:space="preserve">Used for regional analysis only</t>
  </si>
  <si>
    <t xml:space="preserve">Highest level of education</t>
  </si>
  <si>
    <t xml:space="preserve">education</t>
  </si>
  <si>
    <t xml:space="preserve">1, Less than high school | 2, High school or GED | 3, Some college | 4, Associate degree | 5, Bachelor degree | 6, Graduate degree</t>
  </si>
  <si>
    <t xml:space="preserve">All of Us: The Basics</t>
  </si>
  <si>
    <t xml:space="preserve">In what country were you born?</t>
  </si>
  <si>
    <t xml:space="preserve">basics_birth_country</t>
  </si>
  <si>
    <t xml:space="preserve">1, USA | 2, Other</t>
  </si>
  <si>
    <t xml:space="preserve">The Basics</t>
  </si>
  <si>
    <t xml:space="preserve">AoU PPI; source NHANES 2017; @AoU=TheBasics</t>
  </si>
  <si>
    <t xml:space="preserve">Which categories describe you? (select all that apply)</t>
  </si>
  <si>
    <t xml:space="preserve">basics_race</t>
  </si>
  <si>
    <t xml:space="preserve">1, American Indian or Alaska Native | 2, Asian | 3, Black, African American, or African | 4, Hispanic, Latino, or Spanish | 5, Middle Eastern or North African | 6, Native Hawaiian or other Pacific Islander | 7, White | 8, None of these fully describe me | 9, Prefer not to answer</t>
  </si>
  <si>
    <t xml:space="preserve">AoU combines race and Hispanic origin in one item (source US Census 2015 NCT). Detailed subgroups collected as follow-ups.; @AoU=TheBasics</t>
  </si>
  <si>
    <t xml:space="preserve">What terms best express how you describe your gender identity? (check all)</t>
  </si>
  <si>
    <t xml:space="preserve">basics_gender</t>
  </si>
  <si>
    <t xml:space="preserve">1, Man | 2, Woman | 3, Non-binary | 4, Transgender | 5, None of these, see additional options | 6, Prefer not to answer</t>
  </si>
  <si>
    <t xml:space="preserve">AoU PPI; source GenIUSS 2014; @AoU=TheBasics</t>
  </si>
  <si>
    <t xml:space="preserve">What was your biological sex assigned at birth?</t>
  </si>
  <si>
    <t xml:space="preserve">basics_sex_birth</t>
  </si>
  <si>
    <t xml:space="preserve">1, Female | 2, Male | 3, Intersex | 4, None of these describe me | 5, Prefer not to answer</t>
  </si>
  <si>
    <t xml:space="preserve">AoU PPI; source GenIUSS. Maps to NAACCR Sex [220] with code reconciliation.; @AoU=TheBasics</t>
  </si>
  <si>
    <t xml:space="preserve">Which of the following best represents how you think of yourself? (check all)</t>
  </si>
  <si>
    <t xml:space="preserve">basics_orientation</t>
  </si>
  <si>
    <t xml:space="preserve">1, Gay | 2, Lesbian | 3, Straight | 4, Bisexual | 5, None of these, see additional options | 6, Prefer not to answer</t>
  </si>
  <si>
    <t xml:space="preserve">AoU PPI; source NHIS 2016; @AoU=TheBasics</t>
  </si>
  <si>
    <t xml:space="preserve">What is the highest grade or year of school you completed?</t>
  </si>
  <si>
    <t xml:space="preserve">basics_education</t>
  </si>
  <si>
    <t xml:space="preserve">1, Never attended or kindergarten only | 2, Grades 1-4 | 3, Grades 5-8 | 4, Grades 9-11 | 5, Grade 12 or GED | 6, 1-3 years after high school | 7, College 4 years or more | 8, Advanced degree | 9, Prefer not to answer</t>
  </si>
  <si>
    <t xml:space="preserve">AoU PPI; source BRFSS 2016; @AoU=TheBasics</t>
  </si>
  <si>
    <t xml:space="preserve">Have you ever served on active duty in the US Armed Forces?</t>
  </si>
  <si>
    <t xml:space="preserve">basics_military</t>
  </si>
  <si>
    <t xml:space="preserve">1, Yes | 0, No | 9, Prefer not to answer</t>
  </si>
  <si>
    <t xml:space="preserve">AoU PPI; source BRFSS; @AoU=TheBasics</t>
  </si>
  <si>
    <t xml:space="preserve">What is your current marital status?</t>
  </si>
  <si>
    <t xml:space="preserve">basics_marital</t>
  </si>
  <si>
    <t xml:space="preserve">1, Married | 2, Divorced | 3, Widowed | 4, Separated | 5, Never married | 6, Living with partner | 9, Prefer not to answer</t>
  </si>
  <si>
    <t xml:space="preserve">Not including yourself, how many other people live at home with you?</t>
  </si>
  <si>
    <t xml:space="preserve">basics_household_adults</t>
  </si>
  <si>
    <t xml:space="preserve">AoU PPI; integer; @AoU=TheBasics</t>
  </si>
  <si>
    <t xml:space="preserve">Of those, how many are under age 18?</t>
  </si>
  <si>
    <t xml:space="preserve">basics_household_children</t>
  </si>
  <si>
    <t xml:space="preserve">[basics_household_adults] &gt; '0'</t>
  </si>
  <si>
    <t xml:space="preserve">Follow-up shown when household &gt; 0; @AoU=TheBasics</t>
  </si>
  <si>
    <t xml:space="preserve">Are you covered by health insurance or some other health care plan?</t>
  </si>
  <si>
    <t xml:space="preserve">basics_insurance_any</t>
  </si>
  <si>
    <t xml:space="preserve">1, Yes | 0, No | 7, Do not know | 9, Prefer not to answer</t>
  </si>
  <si>
    <t xml:space="preserve">AoU PPI; source NHANES; @AoU=TheBasics</t>
  </si>
  <si>
    <t xml:space="preserve">Which types of coverage do you currently have? (select all)</t>
  </si>
  <si>
    <t xml:space="preserve">basics_insurance_type</t>
  </si>
  <si>
    <t xml:space="preserve">1, Purchased directly | 2, Employer or union | 3, Medicare | 4, Medicaid or government assistance | 5, TRICARE or military | 6, Veterans Affairs | 7, Indian Health Service | 8, Other | 9, No insurance, self-pay</t>
  </si>
  <si>
    <t xml:space="preserve">[basics_insurance_any] = '1'</t>
  </si>
  <si>
    <t xml:space="preserve">Follow-up when covered; @AoU=TheBasics</t>
  </si>
  <si>
    <t xml:space="preserve">Are you deaf or do you have serious difficulty hearing?</t>
  </si>
  <si>
    <t xml:space="preserve">basics_dis_hearing</t>
  </si>
  <si>
    <t xml:space="preserve">AoU PPI; source ACS; @AoU=TheBasics</t>
  </si>
  <si>
    <t xml:space="preserve">Are you blind or do you have serious difficulty seeing, even with glasses?</t>
  </si>
  <si>
    <t xml:space="preserve">basics_dis_vision</t>
  </si>
  <si>
    <t xml:space="preserve">Do you have serious difficulty concentrating, remembering, or making decisions?</t>
  </si>
  <si>
    <t xml:space="preserve">basics_dis_cognition</t>
  </si>
  <si>
    <t xml:space="preserve">Do you have serious difficulty walking or climbing stairs?</t>
  </si>
  <si>
    <t xml:space="preserve">basics_dis_mobility</t>
  </si>
  <si>
    <t xml:space="preserve">Do you have difficulty dressing or bathing?</t>
  </si>
  <si>
    <t xml:space="preserve">basics_dis_selfcare</t>
  </si>
  <si>
    <t xml:space="preserve">Do you have difficulty doing errands alone, such as visiting a doctor or shopping?</t>
  </si>
  <si>
    <t xml:space="preserve">basics_dis_errands</t>
  </si>
  <si>
    <t xml:space="preserve">What is your current employment status? (select 1 or more)</t>
  </si>
  <si>
    <t xml:space="preserve">basics_employment</t>
  </si>
  <si>
    <t xml:space="preserve">1, Employed for wages | 2, Self-employed | 3, Out of work 1 year or more | 4, Out of work less than 1 year | 5, Homemaker | 6, Student | 7, Retired | 8, Unable to work | 9, Prefer not to answer</t>
  </si>
  <si>
    <t xml:space="preserve">What is your annual household income from all sources?</t>
  </si>
  <si>
    <t xml:space="preserve">basics_income</t>
  </si>
  <si>
    <t xml:space="preserve">1, Less than 10k | 2, 10-25k | 3, 25-35k | 4, 35-50k | 5, 50-75k | 6, 75-100k | 7, 100-150k | 8, 150-200k | 9, 200k or more | 99, Prefer not to answer</t>
  </si>
  <si>
    <t xml:space="preserve">Do you own or rent the place where you live?</t>
  </si>
  <si>
    <t xml:space="preserve">basics_home_own</t>
  </si>
  <si>
    <t xml:space="preserve">1, Own | 2, Rent | 3, Other arrangement</t>
  </si>
  <si>
    <t xml:space="preserve">Where are you currently living?</t>
  </si>
  <si>
    <t xml:space="preserve">basics_living</t>
  </si>
  <si>
    <t xml:space="preserve">1, College campus | 2, With friend or roommate | 3, With family | 4, Motel or hotel | 5, Temporary institution | 6, Group or nursing home | 7, Transitional housing | 8, Shelter | 9, Outside | 10, Other</t>
  </si>
  <si>
    <t xml:space="preserve">[basics_home_own] = '3'</t>
  </si>
  <si>
    <t xml:space="preserve">Follow-up when Other arrangement; @AoU=TheBasics</t>
  </si>
  <si>
    <t xml:space="preserve">How many years have you lived at your current address?</t>
  </si>
  <si>
    <t xml:space="preserve">basics_years_address</t>
  </si>
  <si>
    <t xml:space="preserve">1, Less than 1 year | 2, 1-2 years | 3, 3-5 years | 4, 6-10 years | 5, 11-20 years | 6, More than 20 years</t>
  </si>
  <si>
    <t xml:space="preserve">AoU PPI; source UK Biobank; @AoU=TheBasics</t>
  </si>
  <si>
    <t xml:space="preserve">In the past 6 months, have you been worried about NOT having a place to live?</t>
  </si>
  <si>
    <t xml:space="preserve">basics_housing_worry</t>
  </si>
  <si>
    <t xml:space="preserve">1, Yes | 0, No</t>
  </si>
  <si>
    <t xml:space="preserve">AoU PPI; source VA Homeless Screener; @AoU=TheBasics</t>
  </si>
  <si>
    <t xml:space="preserve">Cancer Diagnosis &amp; Treatment</t>
  </si>
  <si>
    <t xml:space="preserve">Sequence Number, Central</t>
  </si>
  <si>
    <t xml:space="preserve">seq_num</t>
  </si>
  <si>
    <t xml:space="preserve">380</t>
  </si>
  <si>
    <t xml:space="preserve">Derived</t>
  </si>
  <si>
    <t xml:space="preserve">Registry-assigned tumor sequence; @NAACCR=380 @READONLY</t>
  </si>
  <si>
    <t xml:space="preserve">https://apps.naaccr.org/data-dictionary/data-dictionary/version=25/data-item-view/item-number=380/</t>
  </si>
  <si>
    <t xml:space="preserve">Date of Diagnosis</t>
  </si>
  <si>
    <t xml:space="preserve">dx_date</t>
  </si>
  <si>
    <t xml:space="preserve">390</t>
  </si>
  <si>
    <t xml:space="preserve">From earliest clinical confirmation in the record; @NAACCR=390</t>
  </si>
  <si>
    <t xml:space="preserve">https://apps.naaccr.org/data-dictionary/data-dictionary/version=25/data-item-view/item-number=390/</t>
  </si>
  <si>
    <t xml:space="preserve">Primary Site (ICD-O-3 topography)</t>
  </si>
  <si>
    <t xml:space="preserve">primary_site</t>
  </si>
  <si>
    <t xml:space="preserve">1, Breast (C50) | 2, Lung (C34) | 3, Colorectal (C18-C20) | 4, Prostate (C61) | 5, Lymphoma (C77/C42) | 6, Pancreas (C25) | 7, Ovary (C56) | 8, Skin / melanoma (C44) | 9, Other</t>
  </si>
  <si>
    <t xml:space="preserve">400</t>
  </si>
  <si>
    <t xml:space="preserve">Crosswalked from EHR diagnosis codes; @NAACCR=400</t>
  </si>
  <si>
    <t xml:space="preserve">https://apps.naaccr.org/data-dictionary/data-dictionary/version=25/data-item-view/item-number=400/</t>
  </si>
  <si>
    <t xml:space="preserve">Laterality</t>
  </si>
  <si>
    <t xml:space="preserve">laterality</t>
  </si>
  <si>
    <t xml:space="preserve">0, Not a paired site | 1, Right | 2, Left | 4, Bilateral | 9, Unknown</t>
  </si>
  <si>
    <t xml:space="preserve">410</t>
  </si>
  <si>
    <t xml:space="preserve">@NAACCR=410</t>
  </si>
  <si>
    <t xml:space="preserve">https://apps.naaccr.org/data-dictionary/data-dictionary/version=25/data-item-view/item-number=410/</t>
  </si>
  <si>
    <t xml:space="preserve">Histologic Type (ICD-O-3)</t>
  </si>
  <si>
    <t xml:space="preserve">histology</t>
  </si>
  <si>
    <t xml:space="preserve">522</t>
  </si>
  <si>
    <t xml:space="preserve">EHR</t>
  </si>
  <si>
    <t xml:space="preserve">Extracted from pathology report; staff confirms; @NAACCR=522 derived=NLP</t>
  </si>
  <si>
    <t xml:space="preserve">https://apps.naaccr.org/data-dictionary/data-dictionary/version=25/data-item-view/item-number=522/</t>
  </si>
  <si>
    <t xml:space="preserve">Behavior Code (ICD-O-3)</t>
  </si>
  <si>
    <t xml:space="preserve">behavior</t>
  </si>
  <si>
    <t xml:space="preserve">0, Benign | 1, Uncertain | 2, In situ | 3, Malignant</t>
  </si>
  <si>
    <t xml:space="preserve">523</t>
  </si>
  <si>
    <t xml:space="preserve">From pathology; @NAACCR=523 derived=NLP</t>
  </si>
  <si>
    <t xml:space="preserve">https://apps.naaccr.org/data-dictionary/data-dictionary/version=25/data-item-view/item-number=523/</t>
  </si>
  <si>
    <t xml:space="preserve">Diagnostic Confirmation</t>
  </si>
  <si>
    <t xml:space="preserve">dx_confirm</t>
  </si>
  <si>
    <t xml:space="preserve">1, Positive histology | 2, Positive cytology | 4, Positive microscopic, NOS | 5, Positive lab test / marker | 6, Direct visualization | 7, Radiology / imaging | 8, Clinical only</t>
  </si>
  <si>
    <t xml:space="preserve">490</t>
  </si>
  <si>
    <t xml:space="preserve">@NAACCR=490</t>
  </si>
  <si>
    <t xml:space="preserve">https://apps.naaccr.org/data-dictionary/data-dictionary/version=25/data-item-view/item-number=490/</t>
  </si>
  <si>
    <t xml:space="preserve">Summary Stage 2018</t>
  </si>
  <si>
    <t xml:space="preserve">summary_stage</t>
  </si>
  <si>
    <t xml:space="preserve">0, In situ | 1, Localized | 2, Regional by direct extension | 3, Regional to nodes | 4, Regional, NOS | 7, Distant | 9, Unknown</t>
  </si>
  <si>
    <t xml:space="preserve">764</t>
  </si>
  <si>
    <t xml:space="preserve">Derived from EHR and documents; staff reviews; @NAACCR=764</t>
  </si>
  <si>
    <t xml:space="preserve">https://apps.naaccr.org/data-dictionary/data-dictionary/version=25/data-item-view/item-number=764/</t>
  </si>
  <si>
    <t xml:space="preserve">Estrogen Receptor Summary</t>
  </si>
  <si>
    <t xml:space="preserve">er_summary</t>
  </si>
  <si>
    <t xml:space="preserve">0, Negative | 1, Positive | 7, Ordered, results not in record | 9, Unknown</t>
  </si>
  <si>
    <t xml:space="preserve">3827</t>
  </si>
  <si>
    <t xml:space="preserve">[primary_site] = '1'</t>
  </si>
  <si>
    <t xml:space="preserve">Breast SSDI; from pathology or lab; @NAACCR=3827</t>
  </si>
  <si>
    <t xml:space="preserve">https://apps.naaccr.org/data-dictionary/data-dictionary/version=25/data-item-view/item-number=3827/</t>
  </si>
  <si>
    <t xml:space="preserve">Progesterone Receptor Summary</t>
  </si>
  <si>
    <t xml:space="preserve">pr_summary</t>
  </si>
  <si>
    <t xml:space="preserve">3915</t>
  </si>
  <si>
    <t xml:space="preserve">Breast SSDI; from pathology or lab; @NAACCR=3915</t>
  </si>
  <si>
    <t xml:space="preserve">https://apps.naaccr.org/data-dictionary/data-dictionary/version=25/data-item-view/item-number=3915/</t>
  </si>
  <si>
    <t xml:space="preserve">HER2 Overall Summary</t>
  </si>
  <si>
    <t xml:space="preserve">her2_summary</t>
  </si>
  <si>
    <t xml:space="preserve">3855</t>
  </si>
  <si>
    <t xml:space="preserve">Breast SSDI; from pathology or lab; @NAACCR=3855</t>
  </si>
  <si>
    <t xml:space="preserve">https://apps.naaccr.org/data-dictionary/data-dictionary/version=25/data-item-view/item-number=3855/</t>
  </si>
  <si>
    <t xml:space="preserve">Surgery of Primary Site</t>
  </si>
  <si>
    <t xml:space="preserve">rx_surgery</t>
  </si>
  <si>
    <t xml:space="preserve">yesno</t>
  </si>
  <si>
    <t xml:space="preserve">1290</t>
  </si>
  <si>
    <t xml:space="preserve">Confirmed by EHR procedure plus patient report; @NAACCR=1290</t>
  </si>
  <si>
    <t xml:space="preserve">https://apps.naaccr.org/data-dictionary/data-dictionary/version=25/data-item-view/item-number=1290/</t>
  </si>
  <si>
    <t xml:space="preserve">Radiation</t>
  </si>
  <si>
    <t xml:space="preserve">rx_radiation</t>
  </si>
  <si>
    <t xml:space="preserve">1360</t>
  </si>
  <si>
    <t xml:space="preserve">@NAACCR=1360</t>
  </si>
  <si>
    <t xml:space="preserve">https://apps.naaccr.org/data-dictionary/data-dictionary/version=25/data-item-view/item-number=1360/</t>
  </si>
  <si>
    <t xml:space="preserve">Chemotherapy</t>
  </si>
  <si>
    <t xml:space="preserve">rx_chemo</t>
  </si>
  <si>
    <t xml:space="preserve">1390</t>
  </si>
  <si>
    <t xml:space="preserve">@NAACCR=1390</t>
  </si>
  <si>
    <t xml:space="preserve">https://apps.naaccr.org/data-dictionary/data-dictionary/version=25/data-item-view/item-number=1390/</t>
  </si>
  <si>
    <t xml:space="preserve">Hormone Therapy</t>
  </si>
  <si>
    <t xml:space="preserve">rx_hormone</t>
  </si>
  <si>
    <t xml:space="preserve">1400</t>
  </si>
  <si>
    <t xml:space="preserve">@NAACCR=1400</t>
  </si>
  <si>
    <t xml:space="preserve">https://apps.naaccr.org/data-dictionary/data-dictionary/version=25/data-item-view/item-number=1400/</t>
  </si>
  <si>
    <t xml:space="preserve">Immunotherapy (biologic response modifiers)</t>
  </si>
  <si>
    <t xml:space="preserve">rx_brm</t>
  </si>
  <si>
    <t xml:space="preserve">1410</t>
  </si>
  <si>
    <t xml:space="preserve">Includes checkpoint inhibitors per NAACCR coding; @NAACCR=1410</t>
  </si>
  <si>
    <t xml:space="preserve">https://apps.naaccr.org/data-dictionary/data-dictionary/version=25/data-item-view/item-number=1410/</t>
  </si>
  <si>
    <t xml:space="preserve">Date of Last Contact</t>
  </si>
  <si>
    <t xml:space="preserve">last_contact</t>
  </si>
  <si>
    <t xml:space="preserve">1750</t>
  </si>
  <si>
    <t xml:space="preserve">Updated each time a participant completes a survey or syncs records; @NAACCR=1750</t>
  </si>
  <si>
    <t xml:space="preserve">https://apps.naaccr.org/data-dictionary/data-dictionary/version=25/data-item-view/item-number=1750/</t>
  </si>
  <si>
    <t xml:space="preserve">Vital Status</t>
  </si>
  <si>
    <t xml:space="preserve">vital_status</t>
  </si>
  <si>
    <t xml:space="preserve">1, Alive | 0, Dead</t>
  </si>
  <si>
    <t xml:space="preserve">1760</t>
  </si>
  <si>
    <t xml:space="preserve">Confirmed via EHR and death index linkage, not self-report; @NAACCR=1760</t>
  </si>
  <si>
    <t xml:space="preserve">https://apps.naaccr.org/data-dictionary/data-dictionary/version=25/data-item-view/item-number=1760/</t>
  </si>
  <si>
    <t xml:space="preserve">Patient Reported Outcomes</t>
  </si>
  <si>
    <t xml:space="preserve">In general, how would you rate your overall health?</t>
  </si>
  <si>
    <t xml:space="preserve">pro_global</t>
  </si>
  <si>
    <t xml:space="preserve">5, Excellent | 4, Very good | 3, Good | 2, Fair | 1, Poor</t>
  </si>
  <si>
    <t xml:space="preserve">How would you rate your fatigue at its worst?</t>
  </si>
  <si>
    <t xml:space="preserve">pro_fatigue</t>
  </si>
  <si>
    <t xml:space="preserve">1, None | 2, Mild | 3, Moderate | 4, Severe | 5, Very severe</t>
  </si>
  <si>
    <t xml:space="preserve">How much did pain interfere with your day-to-day activities?</t>
  </si>
  <si>
    <t xml:space="preserve">pro_pain</t>
  </si>
  <si>
    <t xml:space="preserve">1, Not at all | 2, A little | 3, Somewhat | 4, Quite a bit | 5, Very much</t>
  </si>
  <si>
    <t xml:space="preserve">Were you able to do your usual physical activities?</t>
  </si>
  <si>
    <t xml:space="preserve">pro_function</t>
  </si>
  <si>
    <t xml:space="preserve">5, Without any difficulty | 4, With a little difficulty | 3, With some difficulty | 2, With much difficulty | 1, Unable to do</t>
  </si>
  <si>
    <t xml:space="preserve">How often did you feel anxious or worried?</t>
  </si>
  <si>
    <t xml:space="preserve">pro_anxiety</t>
  </si>
  <si>
    <t xml:space="preserve">1, Never | 2, Rarely | 3, Sometimes | 4, Often | 5, Always</t>
  </si>
  <si>
    <t xml:space="preserve">How often did you experience nausea?</t>
  </si>
  <si>
    <t xml:space="preserve">pro_nausea</t>
  </si>
  <si>
    <t xml:space="preserve">Overall, rate your quality of life this week (0 = worst, 100 = best)</t>
  </si>
  <si>
    <t xml:space="preserve">pro_qol</t>
  </si>
  <si>
    <t xml:space="preserve">slider</t>
  </si>
  <si>
    <t xml:space="preserve">Worst | | Best</t>
  </si>
  <si>
    <t xml:space="preserve">CAM &amp; Supplements</t>
  </si>
  <si>
    <t xml:space="preserve">In the past 30 days, have you used any vitamins, supplements, herbs, or other complementary products?</t>
  </si>
  <si>
    <t xml:space="preserve">cam_any</t>
  </si>
  <si>
    <t xml:space="preserve">Which categories have you used? (select all)</t>
  </si>
  <si>
    <t xml:space="preserve">cam_categories</t>
  </si>
  <si>
    <t xml:space="preserve">1, Vitamins / minerals | 2, Herbal or botanical products | 3, Probiotics | 4, Amino acids / protein | 5, Cannabinoids (CBD / THC) | 6, Homeopathic | 7, Antioxidant formulas | 8, Other</t>
  </si>
  <si>
    <t xml:space="preserve">[cam_any] = '1'</t>
  </si>
  <si>
    <t xml:space="preserve">Product name</t>
  </si>
  <si>
    <t xml:space="preserve">supp1_name</t>
  </si>
  <si>
    <t xml:space="preserve">Brand or common name</t>
  </si>
  <si>
    <t xml:space="preserve">Dose and units</t>
  </si>
  <si>
    <t xml:space="preserve">supp1_dose</t>
  </si>
  <si>
    <t xml:space="preserve">e.g. 1000 mg</t>
  </si>
  <si>
    <t xml:space="preserve">How often taken</t>
  </si>
  <si>
    <t xml:space="preserve">supp1_freq</t>
  </si>
  <si>
    <t xml:space="preserve">1, Once daily | 2, Twice daily | 3, Three+ times daily | 4, Weekly | 5, As needed</t>
  </si>
  <si>
    <t xml:space="preserve">Reason for use (select all)</t>
  </si>
  <si>
    <t xml:space="preserve">supp1_reason</t>
  </si>
  <si>
    <t xml:space="preserve">1, Boost immune system | 2, Reduce side effects | 3, Fight the cancer | 4, General wellness | 5, Energy / fatigue | 6, Sleep | 7, Recommended by clinician</t>
  </si>
  <si>
    <t xml:space="preserve">Have you told your oncology team you take this?</t>
  </si>
  <si>
    <t xml:space="preserve">supp1_disclosed</t>
  </si>
  <si>
    <t xml:space="preserve">Key safety variable: supplement-drug interactions</t>
  </si>
  <si>
    <t xml:space="preserve">In the past 30 days, have you used any of these? (select all)</t>
  </si>
  <si>
    <t xml:space="preserve">cam_practices</t>
  </si>
  <si>
    <t xml:space="preserve">1, Acupuncture | 2, Meditation / mindfulness | 3, Yoga | 4, Massage therapy | 5, Reiki / energy healing | 6, Naturopathy | 7, None</t>
  </si>
  <si>
    <t xml:space="preserve">Are you following any specific dietary approach? (select all)</t>
  </si>
  <si>
    <t xml:space="preserve">cam_diet</t>
  </si>
  <si>
    <t xml:space="preserve">1, Ketogenic | 2, Plant-based / vegan | 3, Intermittent fasting | 4, Juicing | 5, Sugar elimination | 6, None</t>
  </si>
  <si>
    <t xml:space="preserve">Where did you learn about these therapies? (select all)</t>
  </si>
  <si>
    <t xml:space="preserve">cam_source</t>
  </si>
  <si>
    <t xml:space="preserve">1, Oncology team | 2, Primary care | 3, Friend or family | 4, Online / social media | 5, Health food store | 6, Support group</t>
  </si>
  <si>
    <t xml:space="preserve">Anything else you would like the study team to know</t>
  </si>
  <si>
    <t xml:space="preserve">cam_notes</t>
  </si>
  <si>
    <t xml:space="preserve">notes</t>
  </si>
  <si>
    <t xml:space="preserve">EHR Structured Data</t>
  </si>
  <si>
    <t xml:space="preserve">Problem list / conditions</t>
  </si>
  <si>
    <t xml:space="preserve">ehr_conditions</t>
  </si>
  <si>
    <t xml:space="preserve">Imported automatically; @CALCTEXT @READONLY  source=FHIR:Condition (SNOMED, ICD-10-CM)</t>
  </si>
  <si>
    <t xml:space="preserve">Active medications</t>
  </si>
  <si>
    <t xml:space="preserve">ehr_medications</t>
  </si>
  <si>
    <t xml:space="preserve">Imported automatically; @READONLY  source=FHIR:MedicationRequest (RxNorm)</t>
  </si>
  <si>
    <t xml:space="preserve">Laboratory results</t>
  </si>
  <si>
    <t xml:space="preserve">ehr_labs</t>
  </si>
  <si>
    <t xml:space="preserve">Imported automatically; @READONLY  source=FHIR:Observation:laboratory (LOINC)</t>
  </si>
  <si>
    <t xml:space="preserve">Procedures</t>
  </si>
  <si>
    <t xml:space="preserve">ehr_procedures</t>
  </si>
  <si>
    <t xml:space="preserve">Imported automatically; @READONLY  source=FHIR:Procedure (CPT, SNOMED)</t>
  </si>
  <si>
    <t xml:space="preserve">Last successful sync</t>
  </si>
  <si>
    <t xml:space="preserve">ehr_last_sync</t>
  </si>
  <si>
    <t xml:space="preserve">@READONLY</t>
  </si>
  <si>
    <t xml:space="preserve">EHR Unstructured Data</t>
  </si>
  <si>
    <t xml:space="preserve">Pathology report text</t>
  </si>
  <si>
    <t xml:space="preserve">doc_pathology</t>
  </si>
  <si>
    <t xml:space="preserve">Full document text; @READONLY  source=FHIR:DocumentReference (LOINC 11526-1)</t>
  </si>
  <si>
    <t xml:space="preserve">Oncology consult note text</t>
  </si>
  <si>
    <t xml:space="preserve">doc_oncology</t>
  </si>
  <si>
    <t xml:space="preserve">Full document text; @READONLY  source=FHIR:DocumentReference</t>
  </si>
  <si>
    <t xml:space="preserve">Stage extracted from notes</t>
  </si>
  <si>
    <t xml:space="preserve">nlp_stage</t>
  </si>
  <si>
    <t xml:space="preserve">Derived by text processing; flagged for human review; @READONLY  derived=NLP</t>
  </si>
  <si>
    <t xml:space="preserve">Histology extracted from notes</t>
  </si>
  <si>
    <t xml:space="preserve">nlp_histology</t>
  </si>
  <si>
    <t xml:space="preserve">Extraction reviewed by study staff?</t>
  </si>
  <si>
    <t xml:space="preserve">nlp_review</t>
  </si>
  <si>
    <t xml:space="preserve">1, Confirmed | 2, Corrected | 3, Pending review</t>
  </si>
  <si>
    <t xml:space="preserve">Sexual orientation</t>
  </si>
  <si>
    <t xml:space="preserve">sexual_orientation</t>
  </si>
  <si>
    <t xml:space="preserve">1, Straight | 2, Gay or lesbian | 3, Bisexual | 4, Other | 5, Prefer not to answer</t>
  </si>
  <si>
    <t xml:space="preserve">Standard catalog (addable)</t>
  </si>
  <si>
    <t xml:space="preserve">Employment status</t>
  </si>
  <si>
    <t xml:space="preserve">employment</t>
  </si>
  <si>
    <t xml:space="preserve">1, Employed | 2, Self-employed | 3, Unemployed | 4, Retired | 5, Unable to work | 6, Student</t>
  </si>
  <si>
    <t xml:space="preserve">Annual household income</t>
  </si>
  <si>
    <t xml:space="preserve">income</t>
  </si>
  <si>
    <t xml:space="preserve">1, Under 25k | 2, 25-50k | 3, 50-100k | 4, 100-200k | 5, Over 200k | 9, Prefer not to answer</t>
  </si>
  <si>
    <t xml:space="preserve">Health insurance type</t>
  </si>
  <si>
    <t xml:space="preserve">insurance</t>
  </si>
  <si>
    <t xml:space="preserve">1, Employer | 2, Medicare | 3, Medicaid | 4, Marketplace | 5, VA | 6, None</t>
  </si>
  <si>
    <t xml:space="preserve">Health Care Access &amp; Utilization</t>
  </si>
  <si>
    <t xml:space="preserve">Diagnosis</t>
  </si>
  <si>
    <t xml:space="preserve">Self-reported cancer history</t>
  </si>
  <si>
    <t xml:space="preserve">aou_cancer_hx</t>
  </si>
  <si>
    <t xml:space="preserve">Yes</t>
  </si>
  <si>
    <t xml:space="preserve">Personal &amp; Family Health History</t>
  </si>
  <si>
    <t xml:space="preserve">Both: NCI caDSR + All of Us</t>
  </si>
  <si>
    <t xml:space="preserve">Days physical health not good (past 30)</t>
  </si>
  <si>
    <t xml:space="preserve">aou_phys_days</t>
  </si>
  <si>
    <t xml:space="preserve">Overall Health</t>
  </si>
  <si>
    <t xml:space="preserve">Lifestyle</t>
  </si>
  <si>
    <t xml:space="preserve">Smoking status</t>
  </si>
  <si>
    <t xml:space="preserve">smoking</t>
  </si>
  <si>
    <t xml:space="preserve">1, Never | 2, Former | 3, Current some days | 4, Current every day</t>
  </si>
  <si>
    <t xml:space="preserve">Pack-years</t>
  </si>
  <si>
    <t xml:space="preserve">pack_years</t>
  </si>
  <si>
    <t xml:space="preserve">Alcohol use frequency</t>
  </si>
  <si>
    <t xml:space="preserve">alcohol</t>
  </si>
  <si>
    <t xml:space="preserve">1, Never | 2, Monthly or less | 3, 2-4 per month | 4, 2-3 per week | 5, 4+ per week</t>
  </si>
  <si>
    <t xml:space="preserve">Disclosed supplement use to oncology team</t>
  </si>
  <si>
    <t xml:space="preserve">cam_disclosed</t>
  </si>
  <si>
    <t xml:space="preserve">Family &amp; Medical History</t>
  </si>
  <si>
    <t xml:space="preserve">Family history of cancer</t>
  </si>
  <si>
    <t xml:space="preserve">fam_cancer</t>
  </si>
  <si>
    <t xml:space="preserve">Other chronic conditions</t>
  </si>
  <si>
    <t xml:space="preserve">comorbidities</t>
  </si>
  <si>
    <t xml:space="preserve">1, Diabetes | 2, Hypertension | 3, Heart disease | 4, Lung disease | 5, Kidney disease | 6, None</t>
  </si>
  <si>
    <t xml:space="preserve">Access &amp; Social Drivers</t>
  </si>
  <si>
    <t xml:space="preserve">Delayed care due to cost</t>
  </si>
  <si>
    <t xml:space="preserve">delayed_care</t>
  </si>
  <si>
    <t xml:space="preserve">Food insecurity (past 12 months)</t>
  </si>
  <si>
    <t xml:space="preserve">food_insecurity</t>
  </si>
  <si>
    <t xml:space="preserve">1, Never | 2, Sometimes | 3, Often</t>
  </si>
  <si>
    <t xml:space="preserve">Social Determinants of Health</t>
  </si>
  <si>
    <t xml:space="preserve">Transportation barrier to care</t>
  </si>
  <si>
    <t xml:space="preserve">transport</t>
  </si>
  <si>
    <t xml:space="preserve">Social support availability</t>
  </si>
  <si>
    <t xml:space="preserve">social_support</t>
  </si>
  <si>
    <t xml:space="preserve">1, None of the time | 2, Some of the time | 3, Most of the time | 4, All of the time</t>
  </si>
  <si>
    <t xml:space="preserve">PRO-CTCAE (NCI)</t>
  </si>
  <si>
    <t xml:space="preserve">Nausea, frequency (PRO-CTCAE)</t>
  </si>
  <si>
    <t xml:space="preserve">proctcae_nausea_freq</t>
  </si>
  <si>
    <t xml:space="preserve">0, Never | 1, Rarely | 2, Occasionally | 3, Frequently | 4, Almost constantly</t>
  </si>
  <si>
    <t xml:space="preserve">PRO-CTCAE; CDE via caDSR CDE Browser</t>
  </si>
  <si>
    <t xml:space="preserve">Fatigue, severity (PRO-CTCAE)</t>
  </si>
  <si>
    <t xml:space="preserve">proctcae_fatigue_sev</t>
  </si>
  <si>
    <t xml:space="preserve">0, None | 1, Mild | 2, Moderate | 3, Severe | 4, Very severe</t>
  </si>
  <si>
    <t xml:space="preserve">Pain, interference (PRO-CTCAE)</t>
  </si>
  <si>
    <t xml:space="preserve">proctcae_pain_int</t>
  </si>
  <si>
    <t xml:space="preserve">0, Not at all | 1, A little bit | 2, Somewhat | 3, Quite a bit | 4, Very much</t>
  </si>
  <si>
    <t xml:space="preserve">Anxiety, frequency (PRO-CTCAE)</t>
  </si>
  <si>
    <t xml:space="preserve">proctcae_anxiety_freq</t>
  </si>
  <si>
    <t xml:space="preserve">Drug Repurposing / Medications (NCI)</t>
  </si>
  <si>
    <t xml:space="preserve">Concomitant medication name</t>
  </si>
  <si>
    <t xml:space="preserve">conmed_name</t>
  </si>
  <si>
    <t xml:space="preserve">caDSR Form 2867231 (Concomitant Medication NCI CRF)</t>
  </si>
  <si>
    <t xml:space="preserve">Indication / reason for use</t>
  </si>
  <si>
    <t xml:space="preserve">conmed_indication</t>
  </si>
  <si>
    <t xml:space="preserve">caDSR Form 2867231</t>
  </si>
  <si>
    <t xml:space="preserve">conmed_dose</t>
  </si>
  <si>
    <t xml:space="preserve">Route</t>
  </si>
  <si>
    <t xml:space="preserve">conmed_route</t>
  </si>
  <si>
    <t xml:space="preserve">1, Oral | 2, IV | 3, Subcutaneous | 4, Topical | 5, Other</t>
  </si>
  <si>
    <t xml:space="preserve">Start date</t>
  </si>
  <si>
    <t xml:space="preserve">conmed_start</t>
  </si>
  <si>
    <t xml:space="preserve">Still taking</t>
  </si>
  <si>
    <t xml:space="preserve">conmed_ongoing</t>
  </si>
  <si>
    <t xml:space="preserve">Use is off-label / repurposed</t>
  </si>
  <si>
    <t xml:space="preserve">repurpose_flag</t>
  </si>
  <si>
    <t xml:space="preserve">caDSR Form 2867231 (extended for repurposing)</t>
  </si>
  <si>
    <t xml:space="preserve">Prior cancer therapy agent</t>
  </si>
  <si>
    <t xml:space="preserve">prior_therapy_agent</t>
  </si>
  <si>
    <t xml:space="preserve">caDSR; Prior Therapy CDEs via CDE Browser</t>
  </si>
  <si>
    <t xml:space="preserve">Adverse event term (CTCAE)</t>
  </si>
  <si>
    <t xml:space="preserve">ae_ctcae_term</t>
  </si>
  <si>
    <t xml:space="preserve">caDSR Form 3265657 (CTCAE v4 NCI CRF)</t>
  </si>
  <si>
    <t xml:space="preserve">Item #</t>
  </si>
  <si>
    <t xml:space="preserve">Data item</t>
  </si>
  <si>
    <t xml:space="preserve">Section</t>
  </si>
  <si>
    <t xml:space="preserve">FHIR / EHR source</t>
  </si>
  <si>
    <t xml:space="preserve">Registry field</t>
  </si>
  <si>
    <t xml:space="preserve">Note</t>
  </si>
  <si>
    <t xml:space="preserve">Race 1</t>
  </si>
  <si>
    <t xml:space="preserve">Demographic</t>
  </si>
  <si>
    <t xml:space="preserve">Patient.extension us-core-race</t>
  </si>
  <si>
    <t xml:space="preserve">Self-report preferred; EHR used to fill gaps</t>
  </si>
  <si>
    <t xml:space="preserve">Spanish/Hispanic Origin</t>
  </si>
  <si>
    <t xml:space="preserve">Patient.extension us-core-ethnicity</t>
  </si>
  <si>
    <t xml:space="preserve">Self-report is the gold standard for ethnicity</t>
  </si>
  <si>
    <t xml:space="preserve">Patient.gender</t>
  </si>
  <si>
    <t xml:space="preserve">230</t>
  </si>
  <si>
    <t xml:space="preserve">Age at Diagnosis</t>
  </si>
  <si>
    <t xml:space="preserve">—</t>
  </si>
  <si>
    <t xml:space="preserve">Calculated from Date of Birth and Date of Diagnosis</t>
  </si>
  <si>
    <t xml:space="preserve">https://apps.naaccr.org/data-dictionary/data-dictionary/version=25/data-item-view/item-number=230/</t>
  </si>
  <si>
    <t xml:space="preserve">Patient.birthDate</t>
  </si>
  <si>
    <t xml:space="preserve">Cancer Identification</t>
  </si>
  <si>
    <t xml:space="preserve">Registry-assigned, not collected</t>
  </si>
  <si>
    <t xml:space="preserve">Condition.onset / earliest path date</t>
  </si>
  <si>
    <t xml:space="preserve">Condition.code (SNOMED / ICD-10-CM)</t>
  </si>
  <si>
    <t xml:space="preserve">ICD-10 to ICD-O-3 topography crosswalk; patient confirms</t>
  </si>
  <si>
    <t xml:space="preserve">Condition.bodySite</t>
  </si>
  <si>
    <t xml:space="preserve">DocumentReference: pathology</t>
  </si>
  <si>
    <t xml:space="preserve">Whether disease was microscopically confirmed</t>
  </si>
  <si>
    <t xml:space="preserve">DocumentReference: pathology -&gt; NLP</t>
  </si>
  <si>
    <t xml:space="preserve">NLP-extracted, flagged for staff review</t>
  </si>
  <si>
    <t xml:space="preserve">In situ vs invasive; from pathology</t>
  </si>
  <si>
    <t xml:space="preserve">Stage / Prognostic</t>
  </si>
  <si>
    <t xml:space="preserve">EOD inputs + imaging + pathology</t>
  </si>
  <si>
    <t xml:space="preserve">Derived, then staff reviewed</t>
  </si>
  <si>
    <t xml:space="preserve">Stage / Prognostic (SSDI)</t>
  </si>
  <si>
    <t xml:space="preserve">Observation / pathology</t>
  </si>
  <si>
    <t xml:space="preserve">Breast schema</t>
  </si>
  <si>
    <t xml:space="preserve">RX Summ, Surgery of Primary Site</t>
  </si>
  <si>
    <t xml:space="preserve">Treatment, First Course</t>
  </si>
  <si>
    <t xml:space="preserve">Procedure (CPT / SNOMED)</t>
  </si>
  <si>
    <t xml:space="preserve">EHR procedure plus patient report</t>
  </si>
  <si>
    <t xml:space="preserve">RX Summ, Radiation</t>
  </si>
  <si>
    <t xml:space="preserve">Procedure</t>
  </si>
  <si>
    <t xml:space="preserve">RX Summ, Chemotherapy</t>
  </si>
  <si>
    <t xml:space="preserve">MedicationRequest / Procedure (SEER*Rx)</t>
  </si>
  <si>
    <t xml:space="preserve">RX Summ, Hormone Therapy</t>
  </si>
  <si>
    <t xml:space="preserve">MedicationRequest</t>
  </si>
  <si>
    <t xml:space="preserve">RX Summ, BRM / Immunotherapy</t>
  </si>
  <si>
    <t xml:space="preserve">Checkpoint inhibitors coded here per NAACCR</t>
  </si>
  <si>
    <t xml:space="preserve">Follow-up</t>
  </si>
  <si>
    <t xml:space="preserve">Encounter / last sync</t>
  </si>
  <si>
    <t xml:space="preserve">Each survey completion advances this date</t>
  </si>
  <si>
    <t xml:space="preserve">EHR + death index (NDI) linkage</t>
  </si>
  <si>
    <t xml:space="preserve">Not self-reported</t>
  </si>
  <si>
    <t xml:space="preserve">NCI caDSR Common Data Elements</t>
  </si>
  <si>
    <t xml:space="preserve">PRO-CTCAE and drug-repurposing / medication elements. Form Public IDs are verified; item-level CDE Public IDs via caDSR II.</t>
  </si>
  <si>
    <t xml:space="preserve">Domain</t>
  </si>
  <si>
    <t xml:space="preserve">Element</t>
  </si>
  <si>
    <t xml:space="preserve">caDSR reference</t>
  </si>
  <si>
    <t xml:space="preserve">Enrollment</t>
  </si>
  <si>
    <t xml:space="preserve">Race (select all)</t>
  </si>
  <si>
    <t xml:space="preserve">Highest education completed</t>
  </si>
  <si>
    <t xml:space="preserve">Staging &amp; Biomarkers</t>
  </si>
  <si>
    <t xml:space="preserve">Treatment</t>
  </si>
  <si>
    <t xml:space="preserve">Immunotherapy (BRM)</t>
  </si>
  <si>
    <t xml:space="preserve">Outcomes</t>
  </si>
  <si>
    <t xml:space="preserve">Overall health rating</t>
  </si>
  <si>
    <t xml:space="preserve">Fatigue, worst in 7 days</t>
  </si>
  <si>
    <t xml:space="preserve">Pain interference</t>
  </si>
  <si>
    <t xml:space="preserve">Verified caDSR forms used</t>
  </si>
  <si>
    <t xml:space="preserve">caDSR Public ID</t>
  </si>
  <si>
    <t xml:space="preserve">NCI CRF Standard</t>
  </si>
  <si>
    <t xml:space="preserve">Use</t>
  </si>
  <si>
    <t xml:space="preserve">2867231</t>
  </si>
  <si>
    <t xml:space="preserve">Concomitant Medication NCI CRF</t>
  </si>
  <si>
    <t xml:space="preserve">Medication / repurposing exposure</t>
  </si>
  <si>
    <t xml:space="preserve">3265657</t>
  </si>
  <si>
    <t xml:space="preserve">Adverse Event / SAE CTCAE v4 NCI CRF</t>
  </si>
  <si>
    <t xml:space="preserve">Safety / adverse events</t>
  </si>
  <si>
    <t xml:space="preserve">2748814</t>
  </si>
  <si>
    <t xml:space="preserve">Adverse Event / SAE CTCAE v3 NCI CRF</t>
  </si>
  <si>
    <t xml:space="preserve">Legacy adverse events</t>
  </si>
  <si>
    <t xml:space="preserve">NCI PRO measurement system (124 items / 78 symptoms)</t>
  </si>
  <si>
    <t xml:space="preserve">Patient-reported symptoms</t>
  </si>
  <si>
    <t xml:space="preserve">Original source</t>
  </si>
  <si>
    <t xml:space="preserve">Background</t>
  </si>
  <si>
    <t xml:space="preserve">AoU PPI; source NHANES 2017</t>
  </si>
  <si>
    <t xml:space="preserve">AoU combines race and Hispanic origin in one item (source US Census 2015 NCT). Detailed subgroups collected as follow-ups.</t>
  </si>
  <si>
    <t xml:space="preserve">AoU PPI; source GenIUSS 2014</t>
  </si>
  <si>
    <t xml:space="preserve">AoU PPI; source GenIUSS. Maps to NAACCR Sex [220] with code reconciliation.</t>
  </si>
  <si>
    <t xml:space="preserve">AoU PPI; source NHIS 2016</t>
  </si>
  <si>
    <t xml:space="preserve">AoU PPI; source BRFSS 2016</t>
  </si>
  <si>
    <t xml:space="preserve">AoU PPI; source BRFSS</t>
  </si>
  <si>
    <t xml:space="preserve">Home</t>
  </si>
  <si>
    <t xml:space="preserve">AoU PPI; integer</t>
  </si>
  <si>
    <t xml:space="preserve">Follow-up shown when household &gt; 0</t>
  </si>
  <si>
    <t xml:space="preserve">Health coverage</t>
  </si>
  <si>
    <t xml:space="preserve">AoU PPI; source NHANES</t>
  </si>
  <si>
    <t xml:space="preserve">Follow-up when covered</t>
  </si>
  <si>
    <t xml:space="preserve">Functional status (ACS 6-item)</t>
  </si>
  <si>
    <t xml:space="preserve">AoU PPI; source ACS</t>
  </si>
  <si>
    <t xml:space="preserve">Work and income</t>
  </si>
  <si>
    <t xml:space="preserve">Follow-up when Other arrangement</t>
  </si>
  <si>
    <t xml:space="preserve">AoU PPI; source UK Biobank</t>
  </si>
  <si>
    <t xml:space="preserve">AoU PPI; source VA Homeless Screener</t>
  </si>
  <si>
    <t xml:space="preserve">Module</t>
  </si>
  <si>
    <t xml:space="preserve">Type</t>
  </si>
  <si>
    <t xml:space="preserve">Content</t>
  </si>
  <si>
    <t xml:space="preserve">Core</t>
  </si>
  <si>
    <t xml:space="preserve">Demographics, work, home, insurance, disability (ACS), housing</t>
  </si>
  <si>
    <t xml:space="preserve">Smoking and tobacco, alcohol, recreational drug use</t>
  </si>
  <si>
    <t xml:space="preserve">General health rating, healthy days, conditions affecting daily life</t>
  </si>
  <si>
    <t xml:space="preserve">Personal Medical History</t>
  </si>
  <si>
    <t xml:space="preserve">Self-reported conditions by organ system, including cancer</t>
  </si>
  <si>
    <t xml:space="preserve">Family Health History</t>
  </si>
  <si>
    <t xml:space="preserve">Conditions among biological relatives</t>
  </si>
  <si>
    <t xml:space="preserve">Coverage, delayed care, cost barriers, provider type</t>
  </si>
  <si>
    <t xml:space="preserve">Neighborhood, social support, discrimination, food and housing</t>
  </si>
  <si>
    <t xml:space="preserve">Emotional Health History and Well-Being</t>
  </si>
  <si>
    <t xml:space="preserve">GAD-7, PHQ-9, well-being scales</t>
  </si>
  <si>
    <t xml:space="preserve">COPE (COVID-19)</t>
  </si>
  <si>
    <t xml:space="preserve">COVID-19 participant experience</t>
  </si>
  <si>
    <t xml:space="preserve">Physical Measurements</t>
  </si>
  <si>
    <t xml:space="preserve">Program / EHR</t>
  </si>
  <si>
    <t xml:space="preserve">Height, weight, BMI, blood pressure, heart rate, waist/hip</t>
  </si>
  <si>
    <t xml:space="preserve">Wearables (Fitbit)</t>
  </si>
  <si>
    <t xml:space="preserve">Device</t>
  </si>
  <si>
    <t xml:space="preserve">Activity, heart rate, sleep summaries</t>
  </si>
  <si>
    <t xml:space="preserve">Genomics</t>
  </si>
  <si>
    <t xml:space="preserve">Custom</t>
  </si>
  <si>
    <t xml:space="preserve">Array and whole-genome data</t>
  </si>
  <si>
    <t xml:space="preserve">Record ID</t>
  </si>
  <si>
    <t xml:space="preserve">record_id</t>
  </si>
  <si>
    <t xml:space="preserve">Both: NAACCR + NCI caDSR + All of Us</t>
  </si>
  <si>
    <t xml:space="preserve">1, Less than high school | 2, High school or GED | 3, Some college | 4, Associate | 5, Bachelor | 6, Graduate</t>
  </si>
  <si>
    <t xml:space="preserve">Both: NAACCR + NCI caDSR</t>
  </si>
  <si>
    <t xml:space="preserve">1, Positive histology | 2, Positive cytology | 5, Positive lab / marker | 7, Radiology / imaging | 8, Clinical only</t>
  </si>
  <si>
    <t xml:space="preserve">0, In situ | 1, Localized | 2, Regional direct | 3, Regional nodes | 7, Distant | 9, Unknown</t>
  </si>
  <si>
    <t xml:space="preserve">0, Negative | 1, Positive | 9, Unknown</t>
  </si>
  <si>
    <t xml:space="preserve">Any supplement / CAM use (30 days)</t>
  </si>
  <si>
    <t xml:space="preserve">Supplement categories used</t>
  </si>
  <si>
    <t xml:space="preserve">1, Vitamins/minerals | 2, Herbal/botanical | 3, Probiotics | 4, Cannabinoids | 5, Antioxidants | 6, Other</t>
  </si>
  <si>
    <t xml:space="preserve">Mind-body practices used</t>
  </si>
  <si>
    <t xml:space="preserve">1, Acupuncture | 2, Meditation | 3, Yoga | 4, Massage | 5, Reiki | 6, None</t>
  </si>
  <si>
    <t xml:space="preserve">Both: NCI caDSR + Project</t>
  </si>
  <si>
    <t xml:space="preserve">Variable / Field Name</t>
  </si>
  <si>
    <t xml:space="preserve">Form Name</t>
  </si>
  <si>
    <t xml:space="preserve">Section Header</t>
  </si>
  <si>
    <t xml:space="preserve">Field Type</t>
  </si>
  <si>
    <t xml:space="preserve">Field Label</t>
  </si>
  <si>
    <t xml:space="preserve">Choices, Calculations, OR Slider Labels</t>
  </si>
  <si>
    <t xml:space="preserve">Field Note</t>
  </si>
  <si>
    <t xml:space="preserve">Text Validation Type OR Show Slider Number</t>
  </si>
  <si>
    <t xml:space="preserve">Text Validation Min</t>
  </si>
  <si>
    <t xml:space="preserve">Text Validation Max</t>
  </si>
  <si>
    <t xml:space="preserve">Identifier?</t>
  </si>
  <si>
    <t xml:space="preserve">Branching Logic (Show field only if...)</t>
  </si>
  <si>
    <t xml:space="preserve">Required Field?</t>
  </si>
  <si>
    <t xml:space="preserve">Custom Alignment</t>
  </si>
  <si>
    <t xml:space="preserve">Question Number (surveys only)</t>
  </si>
  <si>
    <t xml:space="preserve">Matrix Group Name</t>
  </si>
  <si>
    <t xml:space="preserve">Matrix Ranking?</t>
  </si>
  <si>
    <t xml:space="preserve">Field Annotation</t>
  </si>
  <si>
    <t xml:space="preserve">demographics</t>
  </si>
  <si>
    <t xml:space="preserve">y</t>
  </si>
  <si>
    <t xml:space="preserve">Eligibility &amp; Consent</t>
  </si>
  <si>
    <t xml:space="preserve">date_ymd</t>
  </si>
  <si>
    <t xml:space="preserve">Demographic (NAACCR-aligned)</t>
  </si>
  <si>
    <t xml:space="preserve">Self-reported, reconciled against EHR Patient.birthDate</t>
  </si>
  <si>
    <t xml:space="preserve">@NAACCR=240</t>
  </si>
  <si>
    <t xml:space="preserve">NAACCR Sex; survey self-report plus EHR Patient.gender</t>
  </si>
  <si>
    <t xml:space="preserve">@NAACCR=220</t>
  </si>
  <si>
    <t xml:space="preserve">Maps to Race 1-5 [160-164]; self-report preferred</t>
  </si>
  <si>
    <t xml:space="preserve">@NAACCR=160</t>
  </si>
  <si>
    <t xml:space="preserve">Self-report is the preferred source for Spanish/Hispanic Origin</t>
  </si>
  <si>
    <t xml:space="preserve">@NAACCR=190</t>
  </si>
  <si>
    <t xml:space="preserve">integer</t>
  </si>
  <si>
    <t xml:space="preserve">aou_basics</t>
  </si>
  <si>
    <t xml:space="preserve">@AoU=TheBasics</t>
  </si>
  <si>
    <t xml:space="preserve">cancer_dx</t>
  </si>
  <si>
    <t xml:space="preserve">Cancer Identification (NAACCR)</t>
  </si>
  <si>
    <t xml:space="preserve">Registry-assigned tumor sequence</t>
  </si>
  <si>
    <t xml:space="preserve">@NAACCR=380 @READONLY</t>
  </si>
  <si>
    <t xml:space="preserve">From earliest clinical confirmation in the record</t>
  </si>
  <si>
    <t xml:space="preserve">@NAACCR=390</t>
  </si>
  <si>
    <t xml:space="preserve">Crosswalked from EHR diagnosis codes</t>
  </si>
  <si>
    <t xml:space="preserve">@NAACCR=400</t>
  </si>
  <si>
    <t xml:space="preserve">Extracted from pathology report; staff confirms</t>
  </si>
  <si>
    <t xml:space="preserve">@NAACCR=522 derived=NLP</t>
  </si>
  <si>
    <t xml:space="preserve">From pathology</t>
  </si>
  <si>
    <t xml:space="preserve">@NAACCR=523 derived=NLP</t>
  </si>
  <si>
    <t xml:space="preserve">Stage &amp; Prognostic Factors (NAACCR)</t>
  </si>
  <si>
    <t xml:space="preserve">Derived from EHR and documents; staff reviews</t>
  </si>
  <si>
    <t xml:space="preserve">@NAACCR=764</t>
  </si>
  <si>
    <t xml:space="preserve">Breast SSDI; from pathology or lab</t>
  </si>
  <si>
    <t xml:space="preserve">@NAACCR=3827</t>
  </si>
  <si>
    <t xml:space="preserve">@NAACCR=3915</t>
  </si>
  <si>
    <t xml:space="preserve">@NAACCR=3855</t>
  </si>
  <si>
    <t xml:space="preserve">Treatment, First Course (NAACCR)</t>
  </si>
  <si>
    <t xml:space="preserve">Confirmed by EHR procedure plus patient report</t>
  </si>
  <si>
    <t xml:space="preserve">@NAACCR=1290</t>
  </si>
  <si>
    <t xml:space="preserve">Includes checkpoint inhibitors per NAACCR coding</t>
  </si>
  <si>
    <t xml:space="preserve">@NAACCR=1410</t>
  </si>
  <si>
    <t xml:space="preserve">Follow-up (NAACCR)</t>
  </si>
  <si>
    <t xml:space="preserve">Updated each time a participant completes a survey or syncs records</t>
  </si>
  <si>
    <t xml:space="preserve">@NAACCR=1750</t>
  </si>
  <si>
    <t xml:space="preserve">Confirmed via EHR and death index linkage, not self-report</t>
  </si>
  <si>
    <t xml:space="preserve">@NAACCR=1760</t>
  </si>
  <si>
    <t xml:space="preserve">pro</t>
  </si>
  <si>
    <t xml:space="preserve">In the past 7 days...</t>
  </si>
  <si>
    <t xml:space="preserve">cam</t>
  </si>
  <si>
    <t xml:space="preserve">Supplement &amp; CAM Use (past 30 days)</t>
  </si>
  <si>
    <t xml:space="preserve">Product 1</t>
  </si>
  <si>
    <t xml:space="preserve">Mind-Body &amp; Other Practices</t>
  </si>
  <si>
    <t xml:space="preserve">ehr_struct</t>
  </si>
  <si>
    <t xml:space="preserve">Auto-populated from connected health records</t>
  </si>
  <si>
    <t xml:space="preserve">Imported automatically</t>
  </si>
  <si>
    <t xml:space="preserve">@CALCTEXT @READONLY  source=FHIR:Condition (SNOMED, ICD-10-CM)</t>
  </si>
  <si>
    <t xml:space="preserve">@READONLY  source=FHIR:MedicationRequest (RxNorm)</t>
  </si>
  <si>
    <t xml:space="preserve">@READONLY  source=FHIR:Observation:laboratory (LOINC)</t>
  </si>
  <si>
    <t xml:space="preserve">@READONLY  source=FHIR:Procedure (CPT, SNOMED)</t>
  </si>
  <si>
    <t xml:space="preserve">datetime_ymd</t>
  </si>
  <si>
    <t xml:space="preserve">ehr_unstruct</t>
  </si>
  <si>
    <t xml:space="preserve">Clinical documents (patient-released)</t>
  </si>
  <si>
    <t xml:space="preserve">Full document text</t>
  </si>
  <si>
    <t xml:space="preserve">@READONLY  source=FHIR:DocumentReference (LOINC 11526-1)</t>
  </si>
  <si>
    <t xml:space="preserve">@READONLY  source=FHIR:DocumentReference</t>
  </si>
  <si>
    <t xml:space="preserve">NLP-extracted fields</t>
  </si>
  <si>
    <t xml:space="preserve">Derived by text processing; flagged for human review</t>
  </si>
  <si>
    <t xml:space="preserve">@READONLY  derived=NLP</t>
  </si>
  <si>
    <t xml:space="preserve">enrollment</t>
  </si>
  <si>
    <t xml:space="preserve">SOURCE=Project</t>
  </si>
  <si>
    <t xml:space="preserve">NCI:caDSR | SOURCE=NCI caDSR</t>
  </si>
  <si>
    <t xml:space="preserve">@NAACCR=240 | NCI:caDSR | AoU:The_Basics | SOURCE=Both: NAACCR + NCI caDSR + All of Us</t>
  </si>
  <si>
    <t xml:space="preserve">@NAACCR=220 | NCI:caDSR | AoU:The_Basics | SOURCE=Both: NAACCR + NCI caDSR + All of Us</t>
  </si>
  <si>
    <t xml:space="preserve">NCI:caDSR | AoU:The_Basics | SOURCE=Both: NCI caDSR + All of Us</t>
  </si>
  <si>
    <t xml:space="preserve">AoU:The_Basics | SOURCE=All of Us</t>
  </si>
  <si>
    <t xml:space="preserve">@NAACCR=160 | NCI:caDSR | AoU:The_Basics | SOURCE=Both: NAACCR + NCI caDSR + All of Us</t>
  </si>
  <si>
    <t xml:space="preserve">@NAACCR=190 | NCI:caDSR | AoU:The_Basics | SOURCE=Both: NAACCR + NCI caDSR + All of Us</t>
  </si>
  <si>
    <t xml:space="preserve">AoU:Health_Care_Access_&amp;_Utilization | SOURCE=All of Us</t>
  </si>
  <si>
    <t xml:space="preserve">diagnosis</t>
  </si>
  <si>
    <t xml:space="preserve">@NAACCR=390 | NCI:caDSR | SOURCE=Both: NAACCR + NCI caDSR</t>
  </si>
  <si>
    <t xml:space="preserve">@NAACCR=400 | NCI:caDSR | SOURCE=Both: NAACCR + NCI caDSR</t>
  </si>
  <si>
    <t xml:space="preserve">@NAACCR=410 | NCI:caDSR | SOURCE=Both: NAACCR + NCI caDSR</t>
  </si>
  <si>
    <t xml:space="preserve">@NAACCR=522 | NCI:caDSR | SOURCE=Both: NAACCR + NCI caDSR</t>
  </si>
  <si>
    <t xml:space="preserve">@NAACCR=523 | NCI:caDSR | SOURCE=Both: NAACCR + NCI caDSR</t>
  </si>
  <si>
    <t xml:space="preserve">@NAACCR=490 | NCI:caDSR | SOURCE=Both: NAACCR + NCI caDSR</t>
  </si>
  <si>
    <t xml:space="preserve">NCI:caDSR | AoU:Personal_&amp;_Family_Health_History | SOURCE=Both: NCI caDSR + All of Us</t>
  </si>
  <si>
    <t xml:space="preserve">staging___biomarkers</t>
  </si>
  <si>
    <t xml:space="preserve">@NAACCR=764 | NCI:caDSR | SOURCE=Both: NAACCR + NCI caDSR</t>
  </si>
  <si>
    <t xml:space="preserve">@NAACCR=3827 | NCI:caDSR | SOURCE=Both: NAACCR + NCI caDSR</t>
  </si>
  <si>
    <t xml:space="preserve">@NAACCR=3915 | NCI:caDSR | SOURCE=Both: NAACCR + NCI caDSR</t>
  </si>
  <si>
    <t xml:space="preserve">@NAACCR=3855 | NCI:caDSR | SOURCE=Both: NAACCR + NCI caDSR</t>
  </si>
  <si>
    <t xml:space="preserve">treatment</t>
  </si>
  <si>
    <t xml:space="preserve">@NAACCR=1290 | NCI:caDSR | SOURCE=Both: NAACCR + NCI caDSR</t>
  </si>
  <si>
    <t xml:space="preserve">@NAACCR=1360 | NCI:caDSR | SOURCE=Both: NAACCR + NCI caDSR</t>
  </si>
  <si>
    <t xml:space="preserve">@NAACCR=1390 | NCI:caDSR | SOURCE=Both: NAACCR + NCI caDSR</t>
  </si>
  <si>
    <t xml:space="preserve">@NAACCR=1400 | NCI:caDSR | SOURCE=Both: NAACCR + NCI caDSR</t>
  </si>
  <si>
    <t xml:space="preserve">@NAACCR=1410 | NCI:caDSR | SOURCE=Both: NAACCR + NCI caDSR</t>
  </si>
  <si>
    <t xml:space="preserve">outcomes</t>
  </si>
  <si>
    <t xml:space="preserve">@NAACCR=1750 | NCI:caDSR | SOURCE=Both: NAACCR + NCI caDSR</t>
  </si>
  <si>
    <t xml:space="preserve">@NAACCR=1760 | NCI:caDSR | SOURCE=Both: NAACCR + NCI caDSR</t>
  </si>
  <si>
    <t xml:space="preserve">patient_reported_outcomes</t>
  </si>
  <si>
    <t xml:space="preserve">NCI:caDSR | AoU:Overall_Health | SOURCE=Both: NCI caDSR + All of Us</t>
  </si>
  <si>
    <t xml:space="preserve">AoU:Overall_Health | SOURCE=All of Us</t>
  </si>
  <si>
    <t xml:space="preserve">lifestyle</t>
  </si>
  <si>
    <t xml:space="preserve">NCI:caDSR | AoU:Lifestyle | SOURCE=Both: NCI caDSR + All of Us</t>
  </si>
  <si>
    <t xml:space="preserve">cam___supplements</t>
  </si>
  <si>
    <t xml:space="preserve">LOCAL | SOURCE=Project</t>
  </si>
  <si>
    <t xml:space="preserve">family___medical_history</t>
  </si>
  <si>
    <t xml:space="preserve">access___social_drivers</t>
  </si>
  <si>
    <t xml:space="preserve">AoU:Social_Determinants_of_Health | SOURCE=All of Us</t>
  </si>
  <si>
    <t xml:space="preserve">pro_ctcae__nci</t>
  </si>
  <si>
    <t xml:space="preserve">NCI:caDSR | PRO-CTCAE; CDE via caDSR CDE Browser | SOURCE=NCI caDSR</t>
  </si>
  <si>
    <t xml:space="preserve">drug_repurposing___medications__nci</t>
  </si>
  <si>
    <t xml:space="preserve">NCI:caDSR | caDSR Form 2867231 (Concomitant Medication NCI CRF) | SOURCE=NCI caDSR</t>
  </si>
  <si>
    <t xml:space="preserve">NCI:caDSR | caDSR Form 2867231 | SOURCE=NCI caDSR</t>
  </si>
  <si>
    <t xml:space="preserve">NCI:caDSR | caDSR Form 2867231 (extended for repurposing) | LOCAL | SOURCE=Both: NCI caDSR + Project</t>
  </si>
  <si>
    <t xml:space="preserve">NCI:caDSR | caDSR; Prior Therapy CDEs via CDE Browser | SOURCE=NCI caDSR</t>
  </si>
  <si>
    <t xml:space="preserve">NCI:caDSR | caDSR Form 3265657 (CTCAE v4 NCI CRF) | SOURCE=NCI caDSR</t>
  </si>
  <si>
    <t xml:space="preserve">Live counts. The selection count updates as you mark 'Add to my dictionary?' on the Master Catalog.</t>
  </si>
  <si>
    <t xml:space="preserve">Metric</t>
  </si>
  <si>
    <t xml:space="preserve">Value</t>
  </si>
  <si>
    <t xml:space="preserve">Total elements in Master Catalog</t>
  </si>
  <si>
    <t xml:space="preserve">Elements selected to add (Y)</t>
  </si>
  <si>
    <t xml:space="preserve">Elements citing NAACCR</t>
  </si>
  <si>
    <t xml:space="preserve">Elements citing NCI caDSR</t>
  </si>
  <si>
    <t xml:space="preserve">Elements citing All of Us</t>
  </si>
  <si>
    <t xml:space="preserve">NAACCR items (NAACCR sheet)</t>
  </si>
  <si>
    <t xml:space="preserve">Harmonized elements</t>
  </si>
  <si>
    <t xml:space="preserve">All of Us Basics items</t>
  </si>
  <si>
    <t xml:space="preserve">REDCap import rows ready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</si>
</sst>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A1A1A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8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356A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A1A1A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356A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A1A1A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356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aou_modules" displayName="tbl_aou_modules" ref="A1:D13" headerRowCount="1" totalsRowCount="0" totalsRowShown="0">
  <autoFilter ref="A1:D13"/>
  <tableColumns count="4">
    <tableColumn id="1" name="Module"/>
    <tableColumn id="2" name="Type"/>
    <tableColumn id="3" name="Content"/>
    <tableColumn id="4" name="Source URL"/>
  </tableColumns>
</table>
</file>

<file path=xl/tables/table2.xml><?xml version="1.0" encoding="utf-8"?>
<table xmlns="http://schemas.openxmlformats.org/spreadsheetml/2006/main" id="2" name="tbl_basics" displayName="tbl_basics" ref="A1:H25" headerRowCount="1" totalsRowCount="0" totalsRowShown="0">
  <autoFilter ref="A1:H25"/>
  <tableColumns count="8">
    <tableColumn id="1" name="Section"/>
    <tableColumn id="2" name="Element"/>
    <tableColumn id="3" name="Variable"/>
    <tableColumn id="4" name="Field type"/>
    <tableColumn id="5" name="Choices / permissible values"/>
    <tableColumn id="6" name="Branching logic"/>
    <tableColumn id="7" name="Original source"/>
    <tableColumn id="8" name="Source URL"/>
  </tableColumns>
</table>
</file>

<file path=xl/tables/table3.xml><?xml version="1.0" encoding="utf-8"?>
<table xmlns="http://schemas.openxmlformats.org/spreadsheetml/2006/main" id="3" name="tbl_cadsr" displayName="tbl_cadsr" ref="A4:G50" headerRowCount="1" totalsRowCount="0" totalsRowShown="0">
  <autoFilter ref="A4:G50"/>
  <tableColumns count="7">
    <tableColumn id="1" name="Domain"/>
    <tableColumn id="2" name="Element"/>
    <tableColumn id="3" name="Variable"/>
    <tableColumn id="4" name="Field type"/>
    <tableColumn id="5" name="caDSR reference"/>
    <tableColumn id="6" name="Captured by"/>
    <tableColumn id="7" name="Source URL"/>
  </tableColumns>
</table>
</file>

<file path=xl/tables/table4.xml><?xml version="1.0" encoding="utf-8"?>
<table xmlns="http://schemas.openxmlformats.org/spreadsheetml/2006/main" id="4" name="tbl_cadsr_forms" displayName="tbl_cadsr_forms" ref="A53:D57" headerRowCount="1" totalsRowCount="0" totalsRowShown="0">
  <autoFilter ref="A53:D57"/>
  <tableColumns count="4">
    <tableColumn id="1" name="caDSR Public ID"/>
    <tableColumn id="2" name="NCI CRF Standard"/>
    <tableColumn id="3" name="Use"/>
    <tableColumn id="4" name="Source URL"/>
  </tableColumns>
</table>
</file>

<file path=xl/tables/table5.xml><?xml version="1.0" encoding="utf-8"?>
<table xmlns="http://schemas.openxmlformats.org/spreadsheetml/2006/main" id="5" name="tbl_harmon" displayName="tbl_harmon" ref="A1:L61" headerRowCount="1" totalsRowCount="0" totalsRowShown="0">
  <autoFilter ref="A1:L61"/>
  <tableColumns count="12">
    <tableColumn id="1" name="Domain"/>
    <tableColumn id="2" name="Element"/>
    <tableColumn id="3" name="Variable"/>
    <tableColumn id="4" name="Field type"/>
    <tableColumn id="5" name="NAACCR item #"/>
    <tableColumn id="6" name="NCI caDSR"/>
    <tableColumn id="7" name="caDSR ref"/>
    <tableColumn id="8" name="All of Us module"/>
    <tableColumn id="9" name="Source set"/>
    <tableColumn id="10" name="Captured by"/>
    <tableColumn id="11" name="Choices / permissible values"/>
    <tableColumn id="12" name="Source URL"/>
  </tableColumns>
</table>
</file>

<file path=xl/tables/table6.xml><?xml version="1.0" encoding="utf-8"?>
<table xmlns="http://schemas.openxmlformats.org/spreadsheetml/2006/main" id="6" name="tbl_import" displayName="tbl_import" ref="A1:R61" headerRowCount="1" totalsRowCount="0" totalsRowShown="0">
  <autoFilter ref="A1:R61"/>
  <tableColumns count="18">
    <tableColumn id="1" name="Variable / Field Name"/>
    <tableColumn id="2" name="Form Name"/>
    <tableColumn id="3" name="Section Header"/>
    <tableColumn id="4" name="Field Type"/>
    <tableColumn id="5" name="Field Label"/>
    <tableColumn id="6" name="Choices, Calculations, OR Slider Labels"/>
    <tableColumn id="7" name="Field Note"/>
    <tableColumn id="8" name="Text Validation Type OR Show Slider Number"/>
    <tableColumn id="9" name="Text Validation Min"/>
    <tableColumn id="10" name="Text Validation Max"/>
    <tableColumn id="11" name="Identifier?"/>
    <tableColumn id="12" name="Branching Logic (Show field only if...)"/>
    <tableColumn id="13" name="Required Field?"/>
    <tableColumn id="14" name="Custom Alignment"/>
    <tableColumn id="15" name="Question Number (surveys only)"/>
    <tableColumn id="16" name="Matrix Group Name"/>
    <tableColumn id="17" name="Matrix Ranking?"/>
    <tableColumn id="18" name="Field Annotation"/>
  </tableColumns>
</table>
</file>

<file path=xl/tables/table7.xml><?xml version="1.0" encoding="utf-8"?>
<table xmlns="http://schemas.openxmlformats.org/spreadsheetml/2006/main" id="7" name="tbl_instruments" displayName="tbl_instruments" ref="A1:R80" headerRowCount="1" totalsRowCount="0" totalsRowShown="0">
  <autoFilter ref="A1:R80"/>
  <tableColumns count="18">
    <tableColumn id="1" name="Variable / Field Name"/>
    <tableColumn id="2" name="Form Name"/>
    <tableColumn id="3" name="Section Header"/>
    <tableColumn id="4" name="Field Type"/>
    <tableColumn id="5" name="Field Label"/>
    <tableColumn id="6" name="Choices, Calculations, OR Slider Labels"/>
    <tableColumn id="7" name="Field Note"/>
    <tableColumn id="8" name="Text Validation Type OR Show Slider Number"/>
    <tableColumn id="9" name="Text Validation Min"/>
    <tableColumn id="10" name="Text Validation Max"/>
    <tableColumn id="11" name="Identifier?"/>
    <tableColumn id="12" name="Branching Logic (Show field only if...)"/>
    <tableColumn id="13" name="Required Field?"/>
    <tableColumn id="14" name="Custom Alignment"/>
    <tableColumn id="15" name="Question Number (surveys only)"/>
    <tableColumn id="16" name="Matrix Group Name"/>
    <tableColumn id="17" name="Matrix Ranking?"/>
    <tableColumn id="18" name="Field Annotation"/>
  </tableColumns>
</table>
</file>

<file path=xl/tables/table8.xml><?xml version="1.0" encoding="utf-8"?>
<table xmlns="http://schemas.openxmlformats.org/spreadsheetml/2006/main" id="8" name="tbl_master" displayName="tbl_master" ref="A1:P108" headerRowCount="1" totalsRowCount="0" totalsRowShown="0">
  <autoFilter ref="A1:P108"/>
  <tableColumns count="16">
    <tableColumn id="1" name="Domain / Instrument"/>
    <tableColumn id="2" name="Element label"/>
    <tableColumn id="3" name="Variable"/>
    <tableColumn id="4" name="Field type"/>
    <tableColumn id="5" name="Choices / permissible values"/>
    <tableColumn id="6" name="NAACCR item #"/>
    <tableColumn id="7" name="NCI caDSR"/>
    <tableColumn id="8" name="caDSR ref"/>
    <tableColumn id="9" name="All of Us module"/>
    <tableColumn id="10" name="Source set"/>
    <tableColumn id="11" name="Captured by"/>
    <tableColumn id="12" name="Branching logic"/>
    <tableColumn id="13" name="Notes"/>
    <tableColumn id="14" name="Origin"/>
    <tableColumn id="15" name="Source URL"/>
    <tableColumn id="16" name="Add to my dictionary? (Y/N)"/>
  </tableColumns>
</table>
</file>

<file path=xl/tables/table9.xml><?xml version="1.0" encoding="utf-8"?>
<table xmlns="http://schemas.openxmlformats.org/spreadsheetml/2006/main" id="9" name="tbl_naaccr" displayName="tbl_naaccr" ref="A1:H24" headerRowCount="1" totalsRowCount="0" totalsRowShown="0">
  <autoFilter ref="A1:H24"/>
  <tableColumns count="8">
    <tableColumn id="1" name="Item #"/>
    <tableColumn id="2" name="Data item"/>
    <tableColumn id="3" name="Section"/>
    <tableColumn id="4" name="Captured by"/>
    <tableColumn id="5" name="FHIR / EHR source"/>
    <tableColumn id="6" name="Registry field"/>
    <tableColumn id="7" name="Note"/>
    <tableColumn id="8" name="Source URL"/>
  </tableColumns>
</table>
</file>

<file path=xl/tables/table10.xml><?xml version="1.0" encoding="utf-8"?>
<table xmlns="http://schemas.openxmlformats.org/spreadsheetml/2006/main" id="10" name="tbl_sources" displayName="tbl_sources" ref="A1:E16" headerRowCount="1" totalsRowCount="0" totalsRowShown="0">
  <autoFilter ref="A1:E16"/>
  <tableColumns count="5">
    <tableColumn id="1" name="Source / standard"/>
    <tableColumn id="2" name="What it provides"/>
    <tableColumn id="3" name="Resource"/>
    <tableColumn id="4" name="URL"/>
    <tableColumn id="5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apps.naaccr.org/data-dictionary/" TargetMode="External"/><Relationship Id="rId2" Type="http://schemas.openxmlformats.org/officeDocument/2006/relationships/hyperlink" Target="https://www.naaccr.org/wp-content/uploads/2025/04/NAACCRDataDictionary.pdf" TargetMode="External"/><Relationship Id="rId3" Type="http://schemas.openxmlformats.org/officeDocument/2006/relationships/hyperlink" Target="https://cadsr.cancer.gov/" TargetMode="External"/><Relationship Id="rId4" Type="http://schemas.openxmlformats.org/officeDocument/2006/relationships/hyperlink" Target="https://cadsr.cancer.gov/" TargetMode="External"/><Relationship Id="rId5" Type="http://schemas.openxmlformats.org/officeDocument/2006/relationships/hyperlink" Target="https://cadsrapi.cancer.gov/" TargetMode="External"/><Relationship Id="rId6" Type="http://schemas.openxmlformats.org/officeDocument/2006/relationships/hyperlink" Target="https://wiki.nci.nih.gov/pages/viewpage.action?pageId=309494141" TargetMode="External"/><Relationship Id="rId7" Type="http://schemas.openxmlformats.org/officeDocument/2006/relationships/hyperlink" Target="https://www.cancer.gov/about-nci/organization/cbiit/vocabulary/metadata" TargetMode="External"/><Relationship Id="rId8" Type="http://schemas.openxmlformats.org/officeDocument/2006/relationships/hyperlink" Target="https://healthcaredelivery.cancer.gov/pro-ctcae/" TargetMode="External"/><Relationship Id="rId9" Type="http://schemas.openxmlformats.org/officeDocument/2006/relationships/hyperlink" Target="https://support.researchallofus.org/hc/en-us/articles/360033200232-Data-Dictionaries" TargetMode="External"/><Relationship Id="rId10" Type="http://schemas.openxmlformats.org/officeDocument/2006/relationships/hyperlink" Target="https://www.researchallofus.org/data-tools/survey-explorer/" TargetMode="External"/><Relationship Id="rId11" Type="http://schemas.openxmlformats.org/officeDocument/2006/relationships/hyperlink" Target="https://support.researchallofus.org/hc/en-us/articles/6085285773204-The-Basics-Baseline-Survey-Details-and-Resources" TargetMode="External"/><Relationship Id="rId12" Type="http://schemas.openxmlformats.org/officeDocument/2006/relationships/hyperlink" Target="https://researchallofus.org/wp-content/themes/research-hub-wordpress-theme/media/surveys/Survey_Basics_Eng_Src.pdf" TargetMode="External"/><Relationship Id="rId13" Type="http://schemas.openxmlformats.org/officeDocument/2006/relationships/hyperlink" Target="https://support.researchallofus.org/hc/en-us/articles/6085586512660-Lifestyle-Baseline-Survey-Details-and-Resources" TargetMode="External"/><Relationship Id="rId14" Type="http://schemas.openxmlformats.org/officeDocument/2006/relationships/hyperlink" Target="https://support.researchallofus.org/hc/en-us/articles/6085831989524-Overall-Health-Baseline-Survey-Details-and-Resources" TargetMode="External"/><Relationship Id="rId15" Type="http://schemas.openxmlformats.org/officeDocument/2006/relationships/hyperlink" Target="https://support.researchallofus.org/hc/en-us/articles/29384465580564-Emotional-Health-History-and-Well-Being-Follow-Up-Survey-Details-and-Resources" TargetMode="External"/><Relationship Id="rId16" Type="http://schemas.openxmlformats.org/officeDocument/2006/relationships/table" Target="../tables/table10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pps.naaccr.org/data-dictionary/data-dictionary/version=25/data-item-view/item-number=240/" TargetMode="External"/><Relationship Id="rId2" Type="http://schemas.openxmlformats.org/officeDocument/2006/relationships/hyperlink" Target="https://apps.naaccr.org/data-dictionary/data-dictionary/version=25/data-item-view/item-number=220/" TargetMode="External"/><Relationship Id="rId3" Type="http://schemas.openxmlformats.org/officeDocument/2006/relationships/hyperlink" Target="https://apps.naaccr.org/data-dictionary/data-dictionary/version=25/data-item-view/item-number=160/" TargetMode="External"/><Relationship Id="rId4" Type="http://schemas.openxmlformats.org/officeDocument/2006/relationships/hyperlink" Target="https://apps.naaccr.org/data-dictionary/data-dictionary/version=25/data-item-view/item-number=190/" TargetMode="External"/><Relationship Id="rId5" Type="http://schemas.openxmlformats.org/officeDocument/2006/relationships/hyperlink" Target="https://support.researchallofus.org/hc/en-us/articles/6085285773204-The-Basics-Baseline-Survey-Details-and-Resources" TargetMode="External"/><Relationship Id="rId6" Type="http://schemas.openxmlformats.org/officeDocument/2006/relationships/hyperlink" Target="https://support.researchallofus.org/hc/en-us/articles/6085285773204-The-Basics-Baseline-Survey-Details-and-Resources" TargetMode="External"/><Relationship Id="rId7" Type="http://schemas.openxmlformats.org/officeDocument/2006/relationships/hyperlink" Target="https://support.researchallofus.org/hc/en-us/articles/6085285773204-The-Basics-Baseline-Survey-Details-and-Resources" TargetMode="External"/><Relationship Id="rId8" Type="http://schemas.openxmlformats.org/officeDocument/2006/relationships/hyperlink" Target="https://support.researchallofus.org/hc/en-us/articles/6085285773204-The-Basics-Baseline-Survey-Details-and-Resources" TargetMode="External"/><Relationship Id="rId9" Type="http://schemas.openxmlformats.org/officeDocument/2006/relationships/hyperlink" Target="https://support.researchallofus.org/hc/en-us/articles/6085285773204-The-Basics-Baseline-Survey-Details-and-Resources" TargetMode="External"/><Relationship Id="rId10" Type="http://schemas.openxmlformats.org/officeDocument/2006/relationships/hyperlink" Target="https://support.researchallofus.org/hc/en-us/articles/6085285773204-The-Basics-Baseline-Survey-Details-and-Resources" TargetMode="External"/><Relationship Id="rId11" Type="http://schemas.openxmlformats.org/officeDocument/2006/relationships/hyperlink" Target="https://support.researchallofus.org/hc/en-us/articles/6085285773204-The-Basics-Baseline-Survey-Details-and-Resources" TargetMode="External"/><Relationship Id="rId12" Type="http://schemas.openxmlformats.org/officeDocument/2006/relationships/hyperlink" Target="https://support.researchallofus.org/hc/en-us/articles/6085285773204-The-Basics-Baseline-Survey-Details-and-Resources" TargetMode="External"/><Relationship Id="rId13" Type="http://schemas.openxmlformats.org/officeDocument/2006/relationships/hyperlink" Target="https://support.researchallofus.org/hc/en-us/articles/6085285773204-The-Basics-Baseline-Survey-Details-and-Resources" TargetMode="External"/><Relationship Id="rId14" Type="http://schemas.openxmlformats.org/officeDocument/2006/relationships/hyperlink" Target="https://support.researchallofus.org/hc/en-us/articles/6085285773204-The-Basics-Baseline-Survey-Details-and-Resources" TargetMode="External"/><Relationship Id="rId15" Type="http://schemas.openxmlformats.org/officeDocument/2006/relationships/hyperlink" Target="https://support.researchallofus.org/hc/en-us/articles/6085285773204-The-Basics-Baseline-Survey-Details-and-Resources" TargetMode="External"/><Relationship Id="rId16" Type="http://schemas.openxmlformats.org/officeDocument/2006/relationships/hyperlink" Target="https://support.researchallofus.org/hc/en-us/articles/6085285773204-The-Basics-Baseline-Survey-Details-and-Resources" TargetMode="External"/><Relationship Id="rId17" Type="http://schemas.openxmlformats.org/officeDocument/2006/relationships/hyperlink" Target="https://support.researchallofus.org/hc/en-us/articles/6085285773204-The-Basics-Baseline-Survey-Details-and-Resources" TargetMode="External"/><Relationship Id="rId18" Type="http://schemas.openxmlformats.org/officeDocument/2006/relationships/hyperlink" Target="https://support.researchallofus.org/hc/en-us/articles/6085285773204-The-Basics-Baseline-Survey-Details-and-Resources" TargetMode="External"/><Relationship Id="rId19" Type="http://schemas.openxmlformats.org/officeDocument/2006/relationships/hyperlink" Target="https://support.researchallofus.org/hc/en-us/articles/6085285773204-The-Basics-Baseline-Survey-Details-and-Resources" TargetMode="External"/><Relationship Id="rId20" Type="http://schemas.openxmlformats.org/officeDocument/2006/relationships/hyperlink" Target="https://support.researchallofus.org/hc/en-us/articles/6085285773204-The-Basics-Baseline-Survey-Details-and-Resources" TargetMode="External"/><Relationship Id="rId21" Type="http://schemas.openxmlformats.org/officeDocument/2006/relationships/hyperlink" Target="https://support.researchallofus.org/hc/en-us/articles/6085285773204-The-Basics-Baseline-Survey-Details-and-Resources" TargetMode="External"/><Relationship Id="rId22" Type="http://schemas.openxmlformats.org/officeDocument/2006/relationships/hyperlink" Target="https://support.researchallofus.org/hc/en-us/articles/6085285773204-The-Basics-Baseline-Survey-Details-and-Resources" TargetMode="External"/><Relationship Id="rId23" Type="http://schemas.openxmlformats.org/officeDocument/2006/relationships/hyperlink" Target="https://support.researchallofus.org/hc/en-us/articles/6085285773204-The-Basics-Baseline-Survey-Details-and-Resources" TargetMode="External"/><Relationship Id="rId24" Type="http://schemas.openxmlformats.org/officeDocument/2006/relationships/hyperlink" Target="https://support.researchallofus.org/hc/en-us/articles/6085285773204-The-Basics-Baseline-Survey-Details-and-Resources" TargetMode="External"/><Relationship Id="rId25" Type="http://schemas.openxmlformats.org/officeDocument/2006/relationships/hyperlink" Target="https://support.researchallofus.org/hc/en-us/articles/6085285773204-The-Basics-Baseline-Survey-Details-and-Resources" TargetMode="External"/><Relationship Id="rId26" Type="http://schemas.openxmlformats.org/officeDocument/2006/relationships/hyperlink" Target="https://support.researchallofus.org/hc/en-us/articles/6085285773204-The-Basics-Baseline-Survey-Details-and-Resources" TargetMode="External"/><Relationship Id="rId27" Type="http://schemas.openxmlformats.org/officeDocument/2006/relationships/hyperlink" Target="https://support.researchallofus.org/hc/en-us/articles/6085285773204-The-Basics-Baseline-Survey-Details-and-Resources" TargetMode="External"/><Relationship Id="rId28" Type="http://schemas.openxmlformats.org/officeDocument/2006/relationships/hyperlink" Target="https://support.researchallofus.org/hc/en-us/articles/6085285773204-The-Basics-Baseline-Survey-Details-and-Resources" TargetMode="External"/><Relationship Id="rId29" Type="http://schemas.openxmlformats.org/officeDocument/2006/relationships/hyperlink" Target="https://apps.naaccr.org/data-dictionary/data-dictionary/version=25/data-item-view/item-number=380/" TargetMode="External"/><Relationship Id="rId30" Type="http://schemas.openxmlformats.org/officeDocument/2006/relationships/hyperlink" Target="https://apps.naaccr.org/data-dictionary/data-dictionary/version=25/data-item-view/item-number=390/" TargetMode="External"/><Relationship Id="rId31" Type="http://schemas.openxmlformats.org/officeDocument/2006/relationships/hyperlink" Target="https://apps.naaccr.org/data-dictionary/data-dictionary/version=25/data-item-view/item-number=400/" TargetMode="External"/><Relationship Id="rId32" Type="http://schemas.openxmlformats.org/officeDocument/2006/relationships/hyperlink" Target="https://apps.naaccr.org/data-dictionary/data-dictionary/version=25/data-item-view/item-number=410/" TargetMode="External"/><Relationship Id="rId33" Type="http://schemas.openxmlformats.org/officeDocument/2006/relationships/hyperlink" Target="https://apps.naaccr.org/data-dictionary/data-dictionary/version=25/data-item-view/item-number=522/" TargetMode="External"/><Relationship Id="rId34" Type="http://schemas.openxmlformats.org/officeDocument/2006/relationships/hyperlink" Target="https://apps.naaccr.org/data-dictionary/data-dictionary/version=25/data-item-view/item-number=523/" TargetMode="External"/><Relationship Id="rId35" Type="http://schemas.openxmlformats.org/officeDocument/2006/relationships/hyperlink" Target="https://apps.naaccr.org/data-dictionary/data-dictionary/version=25/data-item-view/item-number=490/" TargetMode="External"/><Relationship Id="rId36" Type="http://schemas.openxmlformats.org/officeDocument/2006/relationships/hyperlink" Target="https://apps.naaccr.org/data-dictionary/data-dictionary/version=25/data-item-view/item-number=764/" TargetMode="External"/><Relationship Id="rId37" Type="http://schemas.openxmlformats.org/officeDocument/2006/relationships/hyperlink" Target="https://apps.naaccr.org/data-dictionary/data-dictionary/version=25/data-item-view/item-number=3827/" TargetMode="External"/><Relationship Id="rId38" Type="http://schemas.openxmlformats.org/officeDocument/2006/relationships/hyperlink" Target="https://apps.naaccr.org/data-dictionary/data-dictionary/version=25/data-item-view/item-number=3915/" TargetMode="External"/><Relationship Id="rId39" Type="http://schemas.openxmlformats.org/officeDocument/2006/relationships/hyperlink" Target="https://apps.naaccr.org/data-dictionary/data-dictionary/version=25/data-item-view/item-number=3855/" TargetMode="External"/><Relationship Id="rId40" Type="http://schemas.openxmlformats.org/officeDocument/2006/relationships/hyperlink" Target="https://apps.naaccr.org/data-dictionary/data-dictionary/version=25/data-item-view/item-number=1290/" TargetMode="External"/><Relationship Id="rId41" Type="http://schemas.openxmlformats.org/officeDocument/2006/relationships/hyperlink" Target="https://apps.naaccr.org/data-dictionary/data-dictionary/version=25/data-item-view/item-number=1360/" TargetMode="External"/><Relationship Id="rId42" Type="http://schemas.openxmlformats.org/officeDocument/2006/relationships/hyperlink" Target="https://apps.naaccr.org/data-dictionary/data-dictionary/version=25/data-item-view/item-number=1390/" TargetMode="External"/><Relationship Id="rId43" Type="http://schemas.openxmlformats.org/officeDocument/2006/relationships/hyperlink" Target="https://apps.naaccr.org/data-dictionary/data-dictionary/version=25/data-item-view/item-number=1400/" TargetMode="External"/><Relationship Id="rId44" Type="http://schemas.openxmlformats.org/officeDocument/2006/relationships/hyperlink" Target="https://apps.naaccr.org/data-dictionary/data-dictionary/version=25/data-item-view/item-number=1410/" TargetMode="External"/><Relationship Id="rId45" Type="http://schemas.openxmlformats.org/officeDocument/2006/relationships/hyperlink" Target="https://apps.naaccr.org/data-dictionary/data-dictionary/version=25/data-item-view/item-number=1750/" TargetMode="External"/><Relationship Id="rId46" Type="http://schemas.openxmlformats.org/officeDocument/2006/relationships/hyperlink" Target="https://apps.naaccr.org/data-dictionary/data-dictionary/version=25/data-item-view/item-number=1760/" TargetMode="External"/><Relationship Id="rId47" Type="http://schemas.openxmlformats.org/officeDocument/2006/relationships/hyperlink" Target="https://support.researchallofus.org/hc/en-us/articles/6085285773204-The-Basics-Baseline-Survey-Details-and-Resources" TargetMode="External"/><Relationship Id="rId48" Type="http://schemas.openxmlformats.org/officeDocument/2006/relationships/hyperlink" Target="https://support.researchallofus.org/hc/en-us/articles/6085285773204-The-Basics-Baseline-Survey-Details-and-Resources" TargetMode="External"/><Relationship Id="rId49" Type="http://schemas.openxmlformats.org/officeDocument/2006/relationships/hyperlink" Target="https://support.researchallofus.org/hc/en-us/articles/6085285773204-The-Basics-Baseline-Survey-Details-and-Resources" TargetMode="External"/><Relationship Id="rId50" Type="http://schemas.openxmlformats.org/officeDocument/2006/relationships/hyperlink" Target="https://www.researchallofus.org/data-tools/survey-explorer/" TargetMode="External"/><Relationship Id="rId51" Type="http://schemas.openxmlformats.org/officeDocument/2006/relationships/hyperlink" Target="https://www.researchallofus.org/data-tools/survey-explorer/" TargetMode="External"/><Relationship Id="rId52" Type="http://schemas.openxmlformats.org/officeDocument/2006/relationships/hyperlink" Target="https://www.researchallofus.org/data-tools/survey-explorer/" TargetMode="External"/><Relationship Id="rId53" Type="http://schemas.openxmlformats.org/officeDocument/2006/relationships/hyperlink" Target="https://www.researchallofus.org/data-tools/survey-explorer/" TargetMode="External"/><Relationship Id="rId54" Type="http://schemas.openxmlformats.org/officeDocument/2006/relationships/hyperlink" Target="https://www.researchallofus.org/data-tools/survey-explorer/" TargetMode="External"/><Relationship Id="rId55" Type="http://schemas.openxmlformats.org/officeDocument/2006/relationships/hyperlink" Target="https://www.researchallofus.org/data-tools/survey-explorer/" TargetMode="External"/><Relationship Id="rId56" Type="http://schemas.openxmlformats.org/officeDocument/2006/relationships/hyperlink" Target="https://www.researchallofus.org/data-tools/survey-explorer/" TargetMode="External"/><Relationship Id="rId57" Type="http://schemas.openxmlformats.org/officeDocument/2006/relationships/hyperlink" Target="https://www.researchallofus.org/data-tools/survey-explorer/" TargetMode="External"/><Relationship Id="rId58" Type="http://schemas.openxmlformats.org/officeDocument/2006/relationships/hyperlink" Target="https://www.researchallofus.org/data-tools/survey-explorer/" TargetMode="External"/><Relationship Id="rId59" Type="http://schemas.openxmlformats.org/officeDocument/2006/relationships/hyperlink" Target="https://www.researchallofus.org/data-tools/survey-explorer/" TargetMode="External"/><Relationship Id="rId60" Type="http://schemas.openxmlformats.org/officeDocument/2006/relationships/hyperlink" Target="https://www.researchallofus.org/data-tools/survey-explorer/" TargetMode="External"/><Relationship Id="rId61" Type="http://schemas.openxmlformats.org/officeDocument/2006/relationships/hyperlink" Target="https://www.researchallofus.org/data-tools/survey-explorer/" TargetMode="External"/><Relationship Id="rId62" Type="http://schemas.openxmlformats.org/officeDocument/2006/relationships/hyperlink" Target="https://cadsr.cancer.gov/" TargetMode="External"/><Relationship Id="rId63" Type="http://schemas.openxmlformats.org/officeDocument/2006/relationships/hyperlink" Target="https://cadsr.cancer.gov/" TargetMode="External"/><Relationship Id="rId64" Type="http://schemas.openxmlformats.org/officeDocument/2006/relationships/hyperlink" Target="https://cadsr.cancer.gov/" TargetMode="External"/><Relationship Id="rId65" Type="http://schemas.openxmlformats.org/officeDocument/2006/relationships/hyperlink" Target="https://cadsr.cancer.gov/" TargetMode="External"/><Relationship Id="rId66" Type="http://schemas.openxmlformats.org/officeDocument/2006/relationships/hyperlink" Target="https://cadsr.cancer.gov/" TargetMode="External"/><Relationship Id="rId67" Type="http://schemas.openxmlformats.org/officeDocument/2006/relationships/hyperlink" Target="https://cadsr.cancer.gov/" TargetMode="External"/><Relationship Id="rId68" Type="http://schemas.openxmlformats.org/officeDocument/2006/relationships/hyperlink" Target="https://cadsr.cancer.gov/" TargetMode="External"/><Relationship Id="rId69" Type="http://schemas.openxmlformats.org/officeDocument/2006/relationships/hyperlink" Target="https://cadsr.cancer.gov/" TargetMode="External"/><Relationship Id="rId70" Type="http://schemas.openxmlformats.org/officeDocument/2006/relationships/hyperlink" Target="https://cadsr.cancer.gov/" TargetMode="External"/><Relationship Id="rId71" Type="http://schemas.openxmlformats.org/officeDocument/2006/relationships/hyperlink" Target="https://cadsr.cancer.gov/" TargetMode="External"/><Relationship Id="rId72" Type="http://schemas.openxmlformats.org/officeDocument/2006/relationships/hyperlink" Target="https://cadsr.cancer.gov/" TargetMode="External"/><Relationship Id="rId73" Type="http://schemas.openxmlformats.org/officeDocument/2006/relationships/hyperlink" Target="https://cadsr.cancer.gov/" TargetMode="External"/><Relationship Id="rId74" Type="http://schemas.openxmlformats.org/officeDocument/2006/relationships/hyperlink" Target="https://cadsr.cancer.gov/" TargetMode="External"/><Relationship Id="rId75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pps.naaccr.org/data-dictionary/data-dictionary/version=25/data-item-view/item-number=160/" TargetMode="External"/><Relationship Id="rId2" Type="http://schemas.openxmlformats.org/officeDocument/2006/relationships/hyperlink" Target="https://apps.naaccr.org/data-dictionary/data-dictionary/version=25/data-item-view/item-number=190/" TargetMode="External"/><Relationship Id="rId3" Type="http://schemas.openxmlformats.org/officeDocument/2006/relationships/hyperlink" Target="https://apps.naaccr.org/data-dictionary/data-dictionary/version=25/data-item-view/item-number=220/" TargetMode="External"/><Relationship Id="rId4" Type="http://schemas.openxmlformats.org/officeDocument/2006/relationships/hyperlink" Target="https://apps.naaccr.org/data-dictionary/data-dictionary/version=25/data-item-view/item-number=230/" TargetMode="External"/><Relationship Id="rId5" Type="http://schemas.openxmlformats.org/officeDocument/2006/relationships/hyperlink" Target="https://apps.naaccr.org/data-dictionary/data-dictionary/version=25/data-item-view/item-number=240/" TargetMode="External"/><Relationship Id="rId6" Type="http://schemas.openxmlformats.org/officeDocument/2006/relationships/hyperlink" Target="https://apps.naaccr.org/data-dictionary/data-dictionary/version=25/data-item-view/item-number=380/" TargetMode="External"/><Relationship Id="rId7" Type="http://schemas.openxmlformats.org/officeDocument/2006/relationships/hyperlink" Target="https://apps.naaccr.org/data-dictionary/data-dictionary/version=25/data-item-view/item-number=390/" TargetMode="External"/><Relationship Id="rId8" Type="http://schemas.openxmlformats.org/officeDocument/2006/relationships/hyperlink" Target="https://apps.naaccr.org/data-dictionary/data-dictionary/version=25/data-item-view/item-number=400/" TargetMode="External"/><Relationship Id="rId9" Type="http://schemas.openxmlformats.org/officeDocument/2006/relationships/hyperlink" Target="https://apps.naaccr.org/data-dictionary/data-dictionary/version=25/data-item-view/item-number=410/" TargetMode="External"/><Relationship Id="rId10" Type="http://schemas.openxmlformats.org/officeDocument/2006/relationships/hyperlink" Target="https://apps.naaccr.org/data-dictionary/data-dictionary/version=25/data-item-view/item-number=490/" TargetMode="External"/><Relationship Id="rId11" Type="http://schemas.openxmlformats.org/officeDocument/2006/relationships/hyperlink" Target="https://apps.naaccr.org/data-dictionary/data-dictionary/version=25/data-item-view/item-number=522/" TargetMode="External"/><Relationship Id="rId12" Type="http://schemas.openxmlformats.org/officeDocument/2006/relationships/hyperlink" Target="https://apps.naaccr.org/data-dictionary/data-dictionary/version=25/data-item-view/item-number=523/" TargetMode="External"/><Relationship Id="rId13" Type="http://schemas.openxmlformats.org/officeDocument/2006/relationships/hyperlink" Target="https://apps.naaccr.org/data-dictionary/data-dictionary/version=25/data-item-view/item-number=764/" TargetMode="External"/><Relationship Id="rId14" Type="http://schemas.openxmlformats.org/officeDocument/2006/relationships/hyperlink" Target="https://apps.naaccr.org/data-dictionary/data-dictionary/version=25/data-item-view/item-number=3827/" TargetMode="External"/><Relationship Id="rId15" Type="http://schemas.openxmlformats.org/officeDocument/2006/relationships/hyperlink" Target="https://apps.naaccr.org/data-dictionary/data-dictionary/version=25/data-item-view/item-number=3915/" TargetMode="External"/><Relationship Id="rId16" Type="http://schemas.openxmlformats.org/officeDocument/2006/relationships/hyperlink" Target="https://apps.naaccr.org/data-dictionary/data-dictionary/version=25/data-item-view/item-number=3855/" TargetMode="External"/><Relationship Id="rId17" Type="http://schemas.openxmlformats.org/officeDocument/2006/relationships/hyperlink" Target="https://apps.naaccr.org/data-dictionary/data-dictionary/version=25/data-item-view/item-number=1290/" TargetMode="External"/><Relationship Id="rId18" Type="http://schemas.openxmlformats.org/officeDocument/2006/relationships/hyperlink" Target="https://apps.naaccr.org/data-dictionary/data-dictionary/version=25/data-item-view/item-number=1360/" TargetMode="External"/><Relationship Id="rId19" Type="http://schemas.openxmlformats.org/officeDocument/2006/relationships/hyperlink" Target="https://apps.naaccr.org/data-dictionary/data-dictionary/version=25/data-item-view/item-number=1390/" TargetMode="External"/><Relationship Id="rId20" Type="http://schemas.openxmlformats.org/officeDocument/2006/relationships/hyperlink" Target="https://apps.naaccr.org/data-dictionary/data-dictionary/version=25/data-item-view/item-number=1400/" TargetMode="External"/><Relationship Id="rId21" Type="http://schemas.openxmlformats.org/officeDocument/2006/relationships/hyperlink" Target="https://apps.naaccr.org/data-dictionary/data-dictionary/version=25/data-item-view/item-number=1410/" TargetMode="External"/><Relationship Id="rId22" Type="http://schemas.openxmlformats.org/officeDocument/2006/relationships/hyperlink" Target="https://apps.naaccr.org/data-dictionary/data-dictionary/version=25/data-item-view/item-number=1750/" TargetMode="External"/><Relationship Id="rId23" Type="http://schemas.openxmlformats.org/officeDocument/2006/relationships/hyperlink" Target="https://apps.naaccr.org/data-dictionary/data-dictionary/version=25/data-item-view/item-number=1760/" TargetMode="External"/><Relationship Id="rId24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cadsr.cancer.gov/" TargetMode="External"/><Relationship Id="rId2" Type="http://schemas.openxmlformats.org/officeDocument/2006/relationships/hyperlink" Target="https://cadsr.cancer.gov/" TargetMode="External"/><Relationship Id="rId3" Type="http://schemas.openxmlformats.org/officeDocument/2006/relationships/hyperlink" Target="https://cadsr.cancer.gov/" TargetMode="External"/><Relationship Id="rId4" Type="http://schemas.openxmlformats.org/officeDocument/2006/relationships/hyperlink" Target="https://cadsr.cancer.gov/" TargetMode="External"/><Relationship Id="rId5" Type="http://schemas.openxmlformats.org/officeDocument/2006/relationships/hyperlink" Target="https://cadsr.cancer.gov/" TargetMode="External"/><Relationship Id="rId6" Type="http://schemas.openxmlformats.org/officeDocument/2006/relationships/hyperlink" Target="https://cadsr.cancer.gov/" TargetMode="External"/><Relationship Id="rId7" Type="http://schemas.openxmlformats.org/officeDocument/2006/relationships/hyperlink" Target="https://cadsr.cancer.gov/" TargetMode="External"/><Relationship Id="rId8" Type="http://schemas.openxmlformats.org/officeDocument/2006/relationships/hyperlink" Target="https://cadsr.cancer.gov/" TargetMode="External"/><Relationship Id="rId9" Type="http://schemas.openxmlformats.org/officeDocument/2006/relationships/hyperlink" Target="https://cadsr.cancer.gov/" TargetMode="External"/><Relationship Id="rId10" Type="http://schemas.openxmlformats.org/officeDocument/2006/relationships/hyperlink" Target="https://cadsr.cancer.gov/" TargetMode="External"/><Relationship Id="rId11" Type="http://schemas.openxmlformats.org/officeDocument/2006/relationships/hyperlink" Target="https://cadsr.cancer.gov/" TargetMode="External"/><Relationship Id="rId12" Type="http://schemas.openxmlformats.org/officeDocument/2006/relationships/hyperlink" Target="https://cadsr.cancer.gov/" TargetMode="External"/><Relationship Id="rId13" Type="http://schemas.openxmlformats.org/officeDocument/2006/relationships/hyperlink" Target="https://cadsr.cancer.gov/" TargetMode="External"/><Relationship Id="rId14" Type="http://schemas.openxmlformats.org/officeDocument/2006/relationships/hyperlink" Target="https://cadsr.cancer.gov/" TargetMode="External"/><Relationship Id="rId15" Type="http://schemas.openxmlformats.org/officeDocument/2006/relationships/hyperlink" Target="https://cadsr.cancer.gov/" TargetMode="External"/><Relationship Id="rId16" Type="http://schemas.openxmlformats.org/officeDocument/2006/relationships/hyperlink" Target="https://cadsr.cancer.gov/" TargetMode="External"/><Relationship Id="rId17" Type="http://schemas.openxmlformats.org/officeDocument/2006/relationships/hyperlink" Target="https://cadsr.cancer.gov/" TargetMode="External"/><Relationship Id="rId18" Type="http://schemas.openxmlformats.org/officeDocument/2006/relationships/hyperlink" Target="https://cadsr.cancer.gov/" TargetMode="External"/><Relationship Id="rId19" Type="http://schemas.openxmlformats.org/officeDocument/2006/relationships/hyperlink" Target="https://cadsr.cancer.gov/" TargetMode="External"/><Relationship Id="rId20" Type="http://schemas.openxmlformats.org/officeDocument/2006/relationships/hyperlink" Target="https://cadsr.cancer.gov/" TargetMode="External"/><Relationship Id="rId21" Type="http://schemas.openxmlformats.org/officeDocument/2006/relationships/hyperlink" Target="https://cadsr.cancer.gov/" TargetMode="External"/><Relationship Id="rId22" Type="http://schemas.openxmlformats.org/officeDocument/2006/relationships/hyperlink" Target="https://cadsr.cancer.gov/" TargetMode="External"/><Relationship Id="rId23" Type="http://schemas.openxmlformats.org/officeDocument/2006/relationships/hyperlink" Target="https://cadsr.cancer.gov/" TargetMode="External"/><Relationship Id="rId24" Type="http://schemas.openxmlformats.org/officeDocument/2006/relationships/hyperlink" Target="https://cadsr.cancer.gov/" TargetMode="External"/><Relationship Id="rId25" Type="http://schemas.openxmlformats.org/officeDocument/2006/relationships/hyperlink" Target="https://cadsr.cancer.gov/" TargetMode="External"/><Relationship Id="rId26" Type="http://schemas.openxmlformats.org/officeDocument/2006/relationships/hyperlink" Target="https://cadsr.cancer.gov/" TargetMode="External"/><Relationship Id="rId27" Type="http://schemas.openxmlformats.org/officeDocument/2006/relationships/hyperlink" Target="https://cadsr.cancer.gov/" TargetMode="External"/><Relationship Id="rId28" Type="http://schemas.openxmlformats.org/officeDocument/2006/relationships/hyperlink" Target="https://cadsr.cancer.gov/" TargetMode="External"/><Relationship Id="rId29" Type="http://schemas.openxmlformats.org/officeDocument/2006/relationships/hyperlink" Target="https://cadsr.cancer.gov/" TargetMode="External"/><Relationship Id="rId30" Type="http://schemas.openxmlformats.org/officeDocument/2006/relationships/hyperlink" Target="https://cadsr.cancer.gov/" TargetMode="External"/><Relationship Id="rId31" Type="http://schemas.openxmlformats.org/officeDocument/2006/relationships/hyperlink" Target="https://cadsr.cancer.gov/" TargetMode="External"/><Relationship Id="rId32" Type="http://schemas.openxmlformats.org/officeDocument/2006/relationships/hyperlink" Target="https://cadsr.cancer.gov/" TargetMode="External"/><Relationship Id="rId33" Type="http://schemas.openxmlformats.org/officeDocument/2006/relationships/hyperlink" Target="https://cadsr.cancer.gov/" TargetMode="External"/><Relationship Id="rId34" Type="http://schemas.openxmlformats.org/officeDocument/2006/relationships/hyperlink" Target="https://cadsr.cancer.gov/" TargetMode="External"/><Relationship Id="rId35" Type="http://schemas.openxmlformats.org/officeDocument/2006/relationships/hyperlink" Target="https://cadsr.cancer.gov/" TargetMode="External"/><Relationship Id="rId36" Type="http://schemas.openxmlformats.org/officeDocument/2006/relationships/hyperlink" Target="https://cadsr.cancer.gov/" TargetMode="External"/><Relationship Id="rId37" Type="http://schemas.openxmlformats.org/officeDocument/2006/relationships/hyperlink" Target="https://cadsr.cancer.gov/" TargetMode="External"/><Relationship Id="rId38" Type="http://schemas.openxmlformats.org/officeDocument/2006/relationships/hyperlink" Target="https://cadsr.cancer.gov/" TargetMode="External"/><Relationship Id="rId39" Type="http://schemas.openxmlformats.org/officeDocument/2006/relationships/hyperlink" Target="https://cadsr.cancer.gov/" TargetMode="External"/><Relationship Id="rId40" Type="http://schemas.openxmlformats.org/officeDocument/2006/relationships/hyperlink" Target="https://cadsr.cancer.gov/" TargetMode="External"/><Relationship Id="rId41" Type="http://schemas.openxmlformats.org/officeDocument/2006/relationships/hyperlink" Target="https://cadsr.cancer.gov/" TargetMode="External"/><Relationship Id="rId42" Type="http://schemas.openxmlformats.org/officeDocument/2006/relationships/hyperlink" Target="https://cadsr.cancer.gov/" TargetMode="External"/><Relationship Id="rId43" Type="http://schemas.openxmlformats.org/officeDocument/2006/relationships/hyperlink" Target="https://cadsr.cancer.gov/" TargetMode="External"/><Relationship Id="rId44" Type="http://schemas.openxmlformats.org/officeDocument/2006/relationships/hyperlink" Target="https://cadsr.cancer.gov/" TargetMode="External"/><Relationship Id="rId45" Type="http://schemas.openxmlformats.org/officeDocument/2006/relationships/hyperlink" Target="https://cadsr.cancer.gov/" TargetMode="External"/><Relationship Id="rId46" Type="http://schemas.openxmlformats.org/officeDocument/2006/relationships/hyperlink" Target="https://cadsr.cancer.gov/" TargetMode="External"/><Relationship Id="rId47" Type="http://schemas.openxmlformats.org/officeDocument/2006/relationships/hyperlink" Target="https://wiki.nci.nih.gov/pages/viewpage.action?pageId=309494141" TargetMode="External"/><Relationship Id="rId48" Type="http://schemas.openxmlformats.org/officeDocument/2006/relationships/hyperlink" Target="https://wiki.nci.nih.gov/pages/viewpage.action?pageId=309494141" TargetMode="External"/><Relationship Id="rId49" Type="http://schemas.openxmlformats.org/officeDocument/2006/relationships/hyperlink" Target="https://wiki.nci.nih.gov/pages/viewpage.action?pageId=309494141" TargetMode="External"/><Relationship Id="rId50" Type="http://schemas.openxmlformats.org/officeDocument/2006/relationships/hyperlink" Target="https://healthcaredelivery.cancer.gov/pro-ctcae/" TargetMode="External"/><Relationship Id="rId51" Type="http://schemas.openxmlformats.org/officeDocument/2006/relationships/table" Target="../tables/table3.xml"/><Relationship Id="rId52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support.researchallofus.org/hc/en-us/articles/6085285773204-The-Basics-Baseline-Survey-Details-and-Resources" TargetMode="External"/><Relationship Id="rId2" Type="http://schemas.openxmlformats.org/officeDocument/2006/relationships/hyperlink" Target="https://support.researchallofus.org/hc/en-us/articles/6085285773204-The-Basics-Baseline-Survey-Details-and-Resources" TargetMode="External"/><Relationship Id="rId3" Type="http://schemas.openxmlformats.org/officeDocument/2006/relationships/hyperlink" Target="https://support.researchallofus.org/hc/en-us/articles/6085285773204-The-Basics-Baseline-Survey-Details-and-Resources" TargetMode="External"/><Relationship Id="rId4" Type="http://schemas.openxmlformats.org/officeDocument/2006/relationships/hyperlink" Target="https://support.researchallofus.org/hc/en-us/articles/6085285773204-The-Basics-Baseline-Survey-Details-and-Resources" TargetMode="External"/><Relationship Id="rId5" Type="http://schemas.openxmlformats.org/officeDocument/2006/relationships/hyperlink" Target="https://support.researchallofus.org/hc/en-us/articles/6085285773204-The-Basics-Baseline-Survey-Details-and-Resources" TargetMode="External"/><Relationship Id="rId6" Type="http://schemas.openxmlformats.org/officeDocument/2006/relationships/hyperlink" Target="https://support.researchallofus.org/hc/en-us/articles/6085285773204-The-Basics-Baseline-Survey-Details-and-Resources" TargetMode="External"/><Relationship Id="rId7" Type="http://schemas.openxmlformats.org/officeDocument/2006/relationships/hyperlink" Target="https://support.researchallofus.org/hc/en-us/articles/6085285773204-The-Basics-Baseline-Survey-Details-and-Resources" TargetMode="External"/><Relationship Id="rId8" Type="http://schemas.openxmlformats.org/officeDocument/2006/relationships/hyperlink" Target="https://support.researchallofus.org/hc/en-us/articles/6085285773204-The-Basics-Baseline-Survey-Details-and-Resources" TargetMode="External"/><Relationship Id="rId9" Type="http://schemas.openxmlformats.org/officeDocument/2006/relationships/hyperlink" Target="https://support.researchallofus.org/hc/en-us/articles/6085285773204-The-Basics-Baseline-Survey-Details-and-Resources" TargetMode="External"/><Relationship Id="rId10" Type="http://schemas.openxmlformats.org/officeDocument/2006/relationships/hyperlink" Target="https://support.researchallofus.org/hc/en-us/articles/6085285773204-The-Basics-Baseline-Survey-Details-and-Resources" TargetMode="External"/><Relationship Id="rId11" Type="http://schemas.openxmlformats.org/officeDocument/2006/relationships/hyperlink" Target="https://support.researchallofus.org/hc/en-us/articles/6085285773204-The-Basics-Baseline-Survey-Details-and-Resources" TargetMode="External"/><Relationship Id="rId12" Type="http://schemas.openxmlformats.org/officeDocument/2006/relationships/hyperlink" Target="https://support.researchallofus.org/hc/en-us/articles/6085285773204-The-Basics-Baseline-Survey-Details-and-Resources" TargetMode="External"/><Relationship Id="rId13" Type="http://schemas.openxmlformats.org/officeDocument/2006/relationships/hyperlink" Target="https://support.researchallofus.org/hc/en-us/articles/6085285773204-The-Basics-Baseline-Survey-Details-and-Resources" TargetMode="External"/><Relationship Id="rId14" Type="http://schemas.openxmlformats.org/officeDocument/2006/relationships/hyperlink" Target="https://support.researchallofus.org/hc/en-us/articles/6085285773204-The-Basics-Baseline-Survey-Details-and-Resources" TargetMode="External"/><Relationship Id="rId15" Type="http://schemas.openxmlformats.org/officeDocument/2006/relationships/hyperlink" Target="https://support.researchallofus.org/hc/en-us/articles/6085285773204-The-Basics-Baseline-Survey-Details-and-Resources" TargetMode="External"/><Relationship Id="rId16" Type="http://schemas.openxmlformats.org/officeDocument/2006/relationships/hyperlink" Target="https://support.researchallofus.org/hc/en-us/articles/6085285773204-The-Basics-Baseline-Survey-Details-and-Resources" TargetMode="External"/><Relationship Id="rId17" Type="http://schemas.openxmlformats.org/officeDocument/2006/relationships/hyperlink" Target="https://support.researchallofus.org/hc/en-us/articles/6085285773204-The-Basics-Baseline-Survey-Details-and-Resources" TargetMode="External"/><Relationship Id="rId18" Type="http://schemas.openxmlformats.org/officeDocument/2006/relationships/hyperlink" Target="https://support.researchallofus.org/hc/en-us/articles/6085285773204-The-Basics-Baseline-Survey-Details-and-Resources" TargetMode="External"/><Relationship Id="rId19" Type="http://schemas.openxmlformats.org/officeDocument/2006/relationships/hyperlink" Target="https://support.researchallofus.org/hc/en-us/articles/6085285773204-The-Basics-Baseline-Survey-Details-and-Resources" TargetMode="External"/><Relationship Id="rId20" Type="http://schemas.openxmlformats.org/officeDocument/2006/relationships/hyperlink" Target="https://support.researchallofus.org/hc/en-us/articles/6085285773204-The-Basics-Baseline-Survey-Details-and-Resources" TargetMode="External"/><Relationship Id="rId21" Type="http://schemas.openxmlformats.org/officeDocument/2006/relationships/hyperlink" Target="https://support.researchallofus.org/hc/en-us/articles/6085285773204-The-Basics-Baseline-Survey-Details-and-Resources" TargetMode="External"/><Relationship Id="rId22" Type="http://schemas.openxmlformats.org/officeDocument/2006/relationships/hyperlink" Target="https://support.researchallofus.org/hc/en-us/articles/6085285773204-The-Basics-Baseline-Survey-Details-and-Resources" TargetMode="External"/><Relationship Id="rId23" Type="http://schemas.openxmlformats.org/officeDocument/2006/relationships/hyperlink" Target="https://support.researchallofus.org/hc/en-us/articles/6085285773204-The-Basics-Baseline-Survey-Details-and-Resources" TargetMode="External"/><Relationship Id="rId24" Type="http://schemas.openxmlformats.org/officeDocument/2006/relationships/hyperlink" Target="https://support.researchallofus.org/hc/en-us/articles/6085285773204-The-Basics-Baseline-Survey-Details-and-Resources" TargetMode="External"/><Relationship Id="rId25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support.researchallofus.org/hc/en-us/articles/6085285773204-The-Basics-Baseline-Survey-Details-and-Resources" TargetMode="External"/><Relationship Id="rId2" Type="http://schemas.openxmlformats.org/officeDocument/2006/relationships/hyperlink" Target="https://support.researchallofus.org/hc/en-us/articles/6085586512660-Lifestyle-Baseline-Survey-Details-and-Resources" TargetMode="External"/><Relationship Id="rId3" Type="http://schemas.openxmlformats.org/officeDocument/2006/relationships/hyperlink" Target="https://support.researchallofus.org/hc/en-us/articles/6085831989524-Overall-Health-Baseline-Survey-Details-and-Resources" TargetMode="External"/><Relationship Id="rId4" Type="http://schemas.openxmlformats.org/officeDocument/2006/relationships/hyperlink" Target="https://www.researchallofus.org/data-tools/survey-explorer/" TargetMode="External"/><Relationship Id="rId5" Type="http://schemas.openxmlformats.org/officeDocument/2006/relationships/hyperlink" Target="https://www.researchallofus.org/data-tools/survey-explorer/" TargetMode="External"/><Relationship Id="rId6" Type="http://schemas.openxmlformats.org/officeDocument/2006/relationships/hyperlink" Target="https://www.researchallofus.org/data-tools/survey-explorer/" TargetMode="External"/><Relationship Id="rId7" Type="http://schemas.openxmlformats.org/officeDocument/2006/relationships/hyperlink" Target="https://www.researchallofus.org/data-tools/survey-explorer/" TargetMode="External"/><Relationship Id="rId8" Type="http://schemas.openxmlformats.org/officeDocument/2006/relationships/hyperlink" Target="https://support.researchallofus.org/hc/en-us/articles/29384465580564-Emotional-Health-History-and-Well-Being-Follow-Up-Survey-Details-and-Resources" TargetMode="External"/><Relationship Id="rId9" Type="http://schemas.openxmlformats.org/officeDocument/2006/relationships/hyperlink" Target="https://www.researchallofus.org/data-tools/survey-explorer/" TargetMode="External"/><Relationship Id="rId10" Type="http://schemas.openxmlformats.org/officeDocument/2006/relationships/hyperlink" Target="https://support.researchallofus.org/hc/en-us/articles/360033200232-Data-Dictionaries" TargetMode="External"/><Relationship Id="rId11" Type="http://schemas.openxmlformats.org/officeDocument/2006/relationships/hyperlink" Target="https://support.researchallofus.org/hc/en-us/articles/360033200232-Data-Dictionaries" TargetMode="External"/><Relationship Id="rId12" Type="http://schemas.openxmlformats.org/officeDocument/2006/relationships/hyperlink" Target="https://support.researchallofus.org/hc/en-us/articles/360033200232-Data-Dictionaries" TargetMode="External"/><Relationship Id="rId13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apps.naaccr.org/data-dictionary/data-dictionary/version=25/data-item-view/item-number=240/" TargetMode="External"/><Relationship Id="rId2" Type="http://schemas.openxmlformats.org/officeDocument/2006/relationships/hyperlink" Target="https://apps.naaccr.org/data-dictionary/data-dictionary/version=25/data-item-view/item-number=220/" TargetMode="External"/><Relationship Id="rId3" Type="http://schemas.openxmlformats.org/officeDocument/2006/relationships/hyperlink" Target="https://support.researchallofus.org/hc/en-us/articles/6085285773204-The-Basics-Baseline-Survey-Details-and-Resources" TargetMode="External"/><Relationship Id="rId4" Type="http://schemas.openxmlformats.org/officeDocument/2006/relationships/hyperlink" Target="https://support.researchallofus.org/hc/en-us/articles/6085285773204-The-Basics-Baseline-Survey-Details-and-Resources" TargetMode="External"/><Relationship Id="rId5" Type="http://schemas.openxmlformats.org/officeDocument/2006/relationships/hyperlink" Target="https://apps.naaccr.org/data-dictionary/data-dictionary/version=25/data-item-view/item-number=160/" TargetMode="External"/><Relationship Id="rId6" Type="http://schemas.openxmlformats.org/officeDocument/2006/relationships/hyperlink" Target="https://apps.naaccr.org/data-dictionary/data-dictionary/version=25/data-item-view/item-number=190/" TargetMode="External"/><Relationship Id="rId7" Type="http://schemas.openxmlformats.org/officeDocument/2006/relationships/hyperlink" Target="https://support.researchallofus.org/hc/en-us/articles/6085285773204-The-Basics-Baseline-Survey-Details-and-Resources" TargetMode="External"/><Relationship Id="rId8" Type="http://schemas.openxmlformats.org/officeDocument/2006/relationships/hyperlink" Target="https://support.researchallofus.org/hc/en-us/articles/6085285773204-The-Basics-Baseline-Survey-Details-and-Resources" TargetMode="External"/><Relationship Id="rId9" Type="http://schemas.openxmlformats.org/officeDocument/2006/relationships/hyperlink" Target="https://support.researchallofus.org/hc/en-us/articles/6085285773204-The-Basics-Baseline-Survey-Details-and-Resources" TargetMode="External"/><Relationship Id="rId10" Type="http://schemas.openxmlformats.org/officeDocument/2006/relationships/hyperlink" Target="https://www.researchallofus.org/data-tools/survey-explorer/" TargetMode="External"/><Relationship Id="rId11" Type="http://schemas.openxmlformats.org/officeDocument/2006/relationships/hyperlink" Target="https://apps.naaccr.org/data-dictionary/data-dictionary/version=25/data-item-view/item-number=390/" TargetMode="External"/><Relationship Id="rId12" Type="http://schemas.openxmlformats.org/officeDocument/2006/relationships/hyperlink" Target="https://apps.naaccr.org/data-dictionary/data-dictionary/version=25/data-item-view/item-number=400/" TargetMode="External"/><Relationship Id="rId13" Type="http://schemas.openxmlformats.org/officeDocument/2006/relationships/hyperlink" Target="https://apps.naaccr.org/data-dictionary/data-dictionary/version=25/data-item-view/item-number=410/" TargetMode="External"/><Relationship Id="rId14" Type="http://schemas.openxmlformats.org/officeDocument/2006/relationships/hyperlink" Target="https://apps.naaccr.org/data-dictionary/data-dictionary/version=25/data-item-view/item-number=522/" TargetMode="External"/><Relationship Id="rId15" Type="http://schemas.openxmlformats.org/officeDocument/2006/relationships/hyperlink" Target="https://apps.naaccr.org/data-dictionary/data-dictionary/version=25/data-item-view/item-number=523/" TargetMode="External"/><Relationship Id="rId16" Type="http://schemas.openxmlformats.org/officeDocument/2006/relationships/hyperlink" Target="https://apps.naaccr.org/data-dictionary/data-dictionary/version=25/data-item-view/item-number=490/" TargetMode="External"/><Relationship Id="rId17" Type="http://schemas.openxmlformats.org/officeDocument/2006/relationships/hyperlink" Target="https://www.researchallofus.org/data-tools/survey-explorer/" TargetMode="External"/><Relationship Id="rId18" Type="http://schemas.openxmlformats.org/officeDocument/2006/relationships/hyperlink" Target="https://apps.naaccr.org/data-dictionary/data-dictionary/version=25/data-item-view/item-number=764/" TargetMode="External"/><Relationship Id="rId19" Type="http://schemas.openxmlformats.org/officeDocument/2006/relationships/hyperlink" Target="https://apps.naaccr.org/data-dictionary/data-dictionary/version=25/data-item-view/item-number=3827/" TargetMode="External"/><Relationship Id="rId20" Type="http://schemas.openxmlformats.org/officeDocument/2006/relationships/hyperlink" Target="https://apps.naaccr.org/data-dictionary/data-dictionary/version=25/data-item-view/item-number=3915/" TargetMode="External"/><Relationship Id="rId21" Type="http://schemas.openxmlformats.org/officeDocument/2006/relationships/hyperlink" Target="https://apps.naaccr.org/data-dictionary/data-dictionary/version=25/data-item-view/item-number=3855/" TargetMode="External"/><Relationship Id="rId22" Type="http://schemas.openxmlformats.org/officeDocument/2006/relationships/hyperlink" Target="https://apps.naaccr.org/data-dictionary/data-dictionary/version=25/data-item-view/item-number=1290/" TargetMode="External"/><Relationship Id="rId23" Type="http://schemas.openxmlformats.org/officeDocument/2006/relationships/hyperlink" Target="https://apps.naaccr.org/data-dictionary/data-dictionary/version=25/data-item-view/item-number=1360/" TargetMode="External"/><Relationship Id="rId24" Type="http://schemas.openxmlformats.org/officeDocument/2006/relationships/hyperlink" Target="https://apps.naaccr.org/data-dictionary/data-dictionary/version=25/data-item-view/item-number=1390/" TargetMode="External"/><Relationship Id="rId25" Type="http://schemas.openxmlformats.org/officeDocument/2006/relationships/hyperlink" Target="https://apps.naaccr.org/data-dictionary/data-dictionary/version=25/data-item-view/item-number=1400/" TargetMode="External"/><Relationship Id="rId26" Type="http://schemas.openxmlformats.org/officeDocument/2006/relationships/hyperlink" Target="https://apps.naaccr.org/data-dictionary/data-dictionary/version=25/data-item-view/item-number=1410/" TargetMode="External"/><Relationship Id="rId27" Type="http://schemas.openxmlformats.org/officeDocument/2006/relationships/hyperlink" Target="https://apps.naaccr.org/data-dictionary/data-dictionary/version=25/data-item-view/item-number=1750/" TargetMode="External"/><Relationship Id="rId28" Type="http://schemas.openxmlformats.org/officeDocument/2006/relationships/hyperlink" Target="https://apps.naaccr.org/data-dictionary/data-dictionary/version=25/data-item-view/item-number=1760/" TargetMode="External"/><Relationship Id="rId29" Type="http://schemas.openxmlformats.org/officeDocument/2006/relationships/hyperlink" Target="https://www.researchallofus.org/data-tools/survey-explorer/" TargetMode="External"/><Relationship Id="rId30" Type="http://schemas.openxmlformats.org/officeDocument/2006/relationships/hyperlink" Target="https://www.researchallofus.org/data-tools/survey-explorer/" TargetMode="External"/><Relationship Id="rId31" Type="http://schemas.openxmlformats.org/officeDocument/2006/relationships/hyperlink" Target="https://www.researchallofus.org/data-tools/survey-explorer/" TargetMode="External"/><Relationship Id="rId32" Type="http://schemas.openxmlformats.org/officeDocument/2006/relationships/hyperlink" Target="https://www.researchallofus.org/data-tools/survey-explorer/" TargetMode="External"/><Relationship Id="rId33" Type="http://schemas.openxmlformats.org/officeDocument/2006/relationships/hyperlink" Target="https://www.researchallofus.org/data-tools/survey-explorer/" TargetMode="External"/><Relationship Id="rId34" Type="http://schemas.openxmlformats.org/officeDocument/2006/relationships/hyperlink" Target="https://www.researchallofus.org/data-tools/survey-explorer/" TargetMode="External"/><Relationship Id="rId35" Type="http://schemas.openxmlformats.org/officeDocument/2006/relationships/hyperlink" Target="https://www.researchallofus.org/data-tools/survey-explorer/" TargetMode="External"/><Relationship Id="rId36" Type="http://schemas.openxmlformats.org/officeDocument/2006/relationships/hyperlink" Target="https://www.researchallofus.org/data-tools/survey-explorer/" TargetMode="External"/><Relationship Id="rId37" Type="http://schemas.openxmlformats.org/officeDocument/2006/relationships/hyperlink" Target="https://www.researchallofus.org/data-tools/survey-explorer/" TargetMode="External"/><Relationship Id="rId38" Type="http://schemas.openxmlformats.org/officeDocument/2006/relationships/hyperlink" Target="https://www.researchallofus.org/data-tools/survey-explorer/" TargetMode="External"/><Relationship Id="rId39" Type="http://schemas.openxmlformats.org/officeDocument/2006/relationships/hyperlink" Target="https://www.researchallofus.org/data-tools/survey-explorer/" TargetMode="External"/><Relationship Id="rId40" Type="http://schemas.openxmlformats.org/officeDocument/2006/relationships/hyperlink" Target="https://cadsr.cancer.gov/" TargetMode="External"/><Relationship Id="rId41" Type="http://schemas.openxmlformats.org/officeDocument/2006/relationships/hyperlink" Target="https://cadsr.cancer.gov/" TargetMode="External"/><Relationship Id="rId42" Type="http://schemas.openxmlformats.org/officeDocument/2006/relationships/hyperlink" Target="https://cadsr.cancer.gov/" TargetMode="External"/><Relationship Id="rId43" Type="http://schemas.openxmlformats.org/officeDocument/2006/relationships/hyperlink" Target="https://cadsr.cancer.gov/" TargetMode="External"/><Relationship Id="rId44" Type="http://schemas.openxmlformats.org/officeDocument/2006/relationships/hyperlink" Target="https://cadsr.cancer.gov/" TargetMode="External"/><Relationship Id="rId45" Type="http://schemas.openxmlformats.org/officeDocument/2006/relationships/hyperlink" Target="https://cadsr.cancer.gov/" TargetMode="External"/><Relationship Id="rId46" Type="http://schemas.openxmlformats.org/officeDocument/2006/relationships/hyperlink" Target="https://cadsr.cancer.gov/" TargetMode="External"/><Relationship Id="rId47" Type="http://schemas.openxmlformats.org/officeDocument/2006/relationships/hyperlink" Target="https://cadsr.cancer.gov/" TargetMode="External"/><Relationship Id="rId48" Type="http://schemas.openxmlformats.org/officeDocument/2006/relationships/hyperlink" Target="https://cadsr.cancer.gov/" TargetMode="External"/><Relationship Id="rId49" Type="http://schemas.openxmlformats.org/officeDocument/2006/relationships/hyperlink" Target="https://cadsr.cancer.gov/" TargetMode="External"/><Relationship Id="rId50" Type="http://schemas.openxmlformats.org/officeDocument/2006/relationships/hyperlink" Target="https://cadsr.cancer.gov/" TargetMode="External"/><Relationship Id="rId51" Type="http://schemas.openxmlformats.org/officeDocument/2006/relationships/hyperlink" Target="https://cadsr.cancer.gov/" TargetMode="External"/><Relationship Id="rId52" Type="http://schemas.openxmlformats.org/officeDocument/2006/relationships/hyperlink" Target="https://cadsr.cancer.gov/" TargetMode="External"/><Relationship Id="rId53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5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/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5" t="s">
        <v>2</v>
      </c>
      <c r="B5" s="6"/>
      <c r="C5" s="6"/>
      <c r="D5" s="6"/>
      <c r="E5" s="6"/>
      <c r="F5" s="6"/>
      <c r="G5" s="6"/>
      <c r="H5" s="6"/>
    </row>
    <row r="6" customFormat="false" ht="23.85" hidden="false" customHeight="true" outlineLevel="0" collapsed="false">
      <c r="A6" s="3" t="s">
        <v>3</v>
      </c>
      <c r="B6" s="4" t="s">
        <v>4</v>
      </c>
      <c r="C6" s="4"/>
      <c r="D6" s="4"/>
      <c r="E6" s="4"/>
      <c r="F6" s="4"/>
      <c r="G6" s="4"/>
      <c r="H6" s="4"/>
    </row>
    <row r="7" customFormat="false" ht="23.85" hidden="false" customHeight="true" outlineLevel="0" collapsed="false">
      <c r="A7" s="3" t="s">
        <v>5</v>
      </c>
      <c r="B7" s="4" t="s">
        <v>6</v>
      </c>
      <c r="C7" s="4"/>
      <c r="D7" s="4"/>
      <c r="E7" s="4"/>
      <c r="F7" s="4"/>
      <c r="G7" s="4"/>
      <c r="H7" s="4"/>
    </row>
    <row r="8" customFormat="false" ht="23.85" hidden="false" customHeight="true" outlineLevel="0" collapsed="false">
      <c r="A8" s="3" t="s">
        <v>7</v>
      </c>
      <c r="B8" s="4" t="s">
        <v>8</v>
      </c>
      <c r="C8" s="4"/>
      <c r="D8" s="4"/>
      <c r="E8" s="4"/>
      <c r="F8" s="4"/>
      <c r="G8" s="4"/>
      <c r="H8" s="4"/>
    </row>
    <row r="9" customFormat="false" ht="23.85" hidden="false" customHeight="true" outlineLevel="0" collapsed="false">
      <c r="A9" s="3" t="s">
        <v>9</v>
      </c>
      <c r="B9" s="4" t="s">
        <v>10</v>
      </c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3"/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5" t="s">
        <v>11</v>
      </c>
      <c r="B11" s="6"/>
      <c r="C11" s="6"/>
      <c r="D11" s="6"/>
      <c r="E11" s="6"/>
      <c r="F11" s="6"/>
      <c r="G11" s="6"/>
      <c r="H11" s="6"/>
    </row>
    <row r="12" customFormat="false" ht="15" hidden="false" customHeight="true" outlineLevel="0" collapsed="false">
      <c r="A12" s="3" t="s">
        <v>12</v>
      </c>
      <c r="B12" s="4" t="s">
        <v>13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3" t="s">
        <v>14</v>
      </c>
      <c r="B13" s="4" t="s">
        <v>15</v>
      </c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3" t="s">
        <v>16</v>
      </c>
      <c r="B14" s="4" t="s">
        <v>17</v>
      </c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3" t="s">
        <v>18</v>
      </c>
      <c r="B15" s="4" t="s">
        <v>19</v>
      </c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A16" s="3" t="s">
        <v>20</v>
      </c>
      <c r="B16" s="4" t="s">
        <v>21</v>
      </c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A17" s="3" t="s">
        <v>22</v>
      </c>
      <c r="B17" s="4" t="s">
        <v>23</v>
      </c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A18" s="3" t="s">
        <v>24</v>
      </c>
      <c r="B18" s="4" t="s">
        <v>25</v>
      </c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3" t="s">
        <v>26</v>
      </c>
      <c r="B19" s="4" t="s">
        <v>27</v>
      </c>
      <c r="C19" s="4"/>
      <c r="D19" s="4"/>
      <c r="E19" s="4"/>
      <c r="F19" s="4"/>
      <c r="G19" s="4"/>
      <c r="H19" s="4"/>
    </row>
    <row r="20" customFormat="false" ht="15" hidden="false" customHeight="true" outlineLevel="0" collapsed="false">
      <c r="A20" s="3" t="s">
        <v>28</v>
      </c>
      <c r="B20" s="4" t="s">
        <v>29</v>
      </c>
      <c r="C20" s="4"/>
      <c r="D20" s="4"/>
      <c r="E20" s="4"/>
      <c r="F20" s="4"/>
      <c r="G20" s="4"/>
      <c r="H20" s="4"/>
    </row>
    <row r="21" customFormat="false" ht="15" hidden="false" customHeight="true" outlineLevel="0" collapsed="false">
      <c r="A21" s="3" t="s">
        <v>30</v>
      </c>
      <c r="B21" s="4" t="s">
        <v>31</v>
      </c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3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5" t="s">
        <v>32</v>
      </c>
      <c r="B23" s="6"/>
      <c r="C23" s="6"/>
      <c r="D23" s="6"/>
      <c r="E23" s="6"/>
      <c r="F23" s="6"/>
      <c r="G23" s="6"/>
      <c r="H23" s="6"/>
    </row>
    <row r="24" customFormat="false" ht="23.85" hidden="false" customHeight="true" outlineLevel="0" collapsed="false">
      <c r="A24" s="3" t="s">
        <v>16</v>
      </c>
      <c r="B24" s="4" t="s">
        <v>33</v>
      </c>
      <c r="C24" s="4"/>
      <c r="D24" s="4"/>
      <c r="E24" s="4"/>
      <c r="F24" s="4"/>
      <c r="G24" s="4"/>
      <c r="H24" s="4"/>
    </row>
    <row r="25" customFormat="false" ht="23.85" hidden="false" customHeight="true" outlineLevel="0" collapsed="false">
      <c r="A25" s="3" t="s">
        <v>18</v>
      </c>
      <c r="B25" s="4" t="s">
        <v>34</v>
      </c>
      <c r="C25" s="4"/>
      <c r="D25" s="4"/>
      <c r="E25" s="4"/>
      <c r="F25" s="4"/>
      <c r="G25" s="4"/>
      <c r="H25" s="4"/>
    </row>
    <row r="26" customFormat="false" ht="23.85" hidden="false" customHeight="true" outlineLevel="0" collapsed="false">
      <c r="A26" s="3" t="s">
        <v>35</v>
      </c>
      <c r="B26" s="4" t="s">
        <v>36</v>
      </c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A27" s="3" t="s">
        <v>37</v>
      </c>
      <c r="B27" s="4" t="s">
        <v>38</v>
      </c>
      <c r="C27" s="4"/>
      <c r="D27" s="4"/>
      <c r="E27" s="4"/>
      <c r="F27" s="4"/>
      <c r="G27" s="4"/>
      <c r="H27" s="4"/>
    </row>
  </sheetData>
  <mergeCells count="25"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42"/>
  </cols>
  <sheetData>
    <row r="1" customFormat="false" ht="23.85" hidden="false" customHeight="false" outlineLevel="0" collapsed="false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</row>
    <row r="2" customFormat="false" ht="15" hidden="false" customHeight="false" outlineLevel="0" collapsed="false">
      <c r="A2" s="8" t="s">
        <v>16</v>
      </c>
      <c r="B2" s="9" t="s">
        <v>44</v>
      </c>
      <c r="C2" s="8" t="s">
        <v>45</v>
      </c>
      <c r="D2" s="10" t="s">
        <v>46</v>
      </c>
      <c r="E2" s="9" t="s">
        <v>47</v>
      </c>
    </row>
    <row r="3" customFormat="false" ht="15" hidden="false" customHeight="false" outlineLevel="0" collapsed="false">
      <c r="A3" s="8" t="s">
        <v>16</v>
      </c>
      <c r="B3" s="9" t="s">
        <v>48</v>
      </c>
      <c r="C3" s="8" t="s">
        <v>49</v>
      </c>
      <c r="D3" s="10" t="s">
        <v>50</v>
      </c>
      <c r="E3" s="9"/>
    </row>
    <row r="4" customFormat="false" ht="23.85" hidden="false" customHeight="false" outlineLevel="0" collapsed="false">
      <c r="A4" s="8" t="s">
        <v>18</v>
      </c>
      <c r="B4" s="9" t="s">
        <v>51</v>
      </c>
      <c r="C4" s="8" t="s">
        <v>52</v>
      </c>
      <c r="D4" s="10" t="s">
        <v>53</v>
      </c>
      <c r="E4" s="9" t="s">
        <v>54</v>
      </c>
    </row>
    <row r="5" customFormat="false" ht="23.85" hidden="false" customHeight="false" outlineLevel="0" collapsed="false">
      <c r="A5" s="8" t="s">
        <v>18</v>
      </c>
      <c r="B5" s="9" t="s">
        <v>55</v>
      </c>
      <c r="C5" s="8" t="s">
        <v>56</v>
      </c>
      <c r="D5" s="10" t="s">
        <v>53</v>
      </c>
      <c r="E5" s="9" t="s">
        <v>57</v>
      </c>
    </row>
    <row r="6" customFormat="false" ht="15" hidden="false" customHeight="false" outlineLevel="0" collapsed="false">
      <c r="A6" s="8" t="s">
        <v>18</v>
      </c>
      <c r="B6" s="9" t="s">
        <v>58</v>
      </c>
      <c r="C6" s="8" t="s">
        <v>59</v>
      </c>
      <c r="D6" s="10" t="s">
        <v>60</v>
      </c>
      <c r="E6" s="9" t="s">
        <v>61</v>
      </c>
    </row>
    <row r="7" customFormat="false" ht="23.85" hidden="false" customHeight="false" outlineLevel="0" collapsed="false">
      <c r="A7" s="8" t="s">
        <v>18</v>
      </c>
      <c r="B7" s="9" t="s">
        <v>62</v>
      </c>
      <c r="C7" s="8" t="s">
        <v>63</v>
      </c>
      <c r="D7" s="10" t="s">
        <v>64</v>
      </c>
      <c r="E7" s="9" t="s">
        <v>65</v>
      </c>
    </row>
    <row r="8" customFormat="false" ht="15" hidden="false" customHeight="false" outlineLevel="0" collapsed="false">
      <c r="A8" s="8" t="s">
        <v>66</v>
      </c>
      <c r="B8" s="9" t="s">
        <v>67</v>
      </c>
      <c r="C8" s="8" t="s">
        <v>68</v>
      </c>
      <c r="D8" s="10" t="s">
        <v>69</v>
      </c>
      <c r="E8" s="9"/>
    </row>
    <row r="9" customFormat="false" ht="23.85" hidden="false" customHeight="false" outlineLevel="0" collapsed="false">
      <c r="A9" s="8" t="s">
        <v>70</v>
      </c>
      <c r="B9" s="9" t="s">
        <v>71</v>
      </c>
      <c r="C9" s="8" t="s">
        <v>72</v>
      </c>
      <c r="D9" s="10" t="s">
        <v>73</v>
      </c>
      <c r="E9" s="9" t="s">
        <v>74</v>
      </c>
    </row>
    <row r="10" customFormat="false" ht="15" hidden="false" customHeight="false" outlineLevel="0" collapsed="false">
      <c r="A10" s="8" t="s">
        <v>35</v>
      </c>
      <c r="B10" s="9" t="s">
        <v>75</v>
      </c>
      <c r="C10" s="8" t="s">
        <v>76</v>
      </c>
      <c r="D10" s="10" t="s">
        <v>77</v>
      </c>
      <c r="E10" s="9" t="s">
        <v>78</v>
      </c>
    </row>
    <row r="11" customFormat="false" ht="15" hidden="false" customHeight="false" outlineLevel="0" collapsed="false">
      <c r="A11" s="8" t="s">
        <v>35</v>
      </c>
      <c r="B11" s="9" t="s">
        <v>79</v>
      </c>
      <c r="C11" s="8" t="s">
        <v>80</v>
      </c>
      <c r="D11" s="10" t="s">
        <v>81</v>
      </c>
      <c r="E11" s="9"/>
    </row>
    <row r="12" customFormat="false" ht="15" hidden="false" customHeight="false" outlineLevel="0" collapsed="false">
      <c r="A12" s="8" t="s">
        <v>35</v>
      </c>
      <c r="B12" s="9" t="s">
        <v>82</v>
      </c>
      <c r="C12" s="8" t="s">
        <v>83</v>
      </c>
      <c r="D12" s="10" t="s">
        <v>84</v>
      </c>
      <c r="E12" s="9" t="s">
        <v>85</v>
      </c>
    </row>
    <row r="13" customFormat="false" ht="15" hidden="false" customHeight="false" outlineLevel="0" collapsed="false">
      <c r="A13" s="8" t="s">
        <v>35</v>
      </c>
      <c r="B13" s="9" t="s">
        <v>86</v>
      </c>
      <c r="C13" s="8" t="s">
        <v>87</v>
      </c>
      <c r="D13" s="10" t="s">
        <v>88</v>
      </c>
      <c r="E13" s="9" t="s">
        <v>89</v>
      </c>
    </row>
    <row r="14" customFormat="false" ht="15" hidden="false" customHeight="false" outlineLevel="0" collapsed="false">
      <c r="A14" s="8" t="s">
        <v>35</v>
      </c>
      <c r="B14" s="9" t="s">
        <v>90</v>
      </c>
      <c r="C14" s="8" t="s">
        <v>91</v>
      </c>
      <c r="D14" s="10" t="s">
        <v>92</v>
      </c>
      <c r="E14" s="9"/>
    </row>
    <row r="15" customFormat="false" ht="15" hidden="false" customHeight="false" outlineLevel="0" collapsed="false">
      <c r="A15" s="8" t="s">
        <v>35</v>
      </c>
      <c r="B15" s="9" t="s">
        <v>93</v>
      </c>
      <c r="C15" s="8" t="s">
        <v>94</v>
      </c>
      <c r="D15" s="10" t="s">
        <v>95</v>
      </c>
      <c r="E15" s="9"/>
    </row>
    <row r="16" customFormat="false" ht="23.85" hidden="false" customHeight="false" outlineLevel="0" collapsed="false">
      <c r="A16" s="8" t="s">
        <v>35</v>
      </c>
      <c r="B16" s="9" t="s">
        <v>96</v>
      </c>
      <c r="C16" s="8" t="s">
        <v>97</v>
      </c>
      <c r="D16" s="10" t="s">
        <v>98</v>
      </c>
      <c r="E16" s="9"/>
    </row>
  </sheetData>
  <hyperlinks>
    <hyperlink ref="D2" r:id="rId1" display="https://apps.naaccr.org/data-dictionary/"/>
    <hyperlink ref="D3" r:id="rId2" display="https://www.naaccr.org/wp-content/uploads/2025/04/NAACCRDataDictionary.pdf"/>
    <hyperlink ref="D4" r:id="rId3" display="https://cadsr.cancer.gov/"/>
    <hyperlink ref="D5" r:id="rId4" display="https://cadsr.cancer.gov/"/>
    <hyperlink ref="D6" r:id="rId5" display="https://cadsrapi.cancer.gov/"/>
    <hyperlink ref="D7" r:id="rId6" display="https://wiki.nci.nih.gov/pages/viewpage.action?pageId=309494141"/>
    <hyperlink ref="D8" r:id="rId7" display="https://www.cancer.gov/about-nci/organization/cbiit/vocabulary/metadata"/>
    <hyperlink ref="D9" r:id="rId8" display="https://healthcaredelivery.cancer.gov/pro-ctcae/"/>
    <hyperlink ref="D10" r:id="rId9" display="https://support.researchallofus.org/hc/en-us/articles/360033200232-Data-Dictionaries"/>
    <hyperlink ref="D11" r:id="rId10" display="https://www.researchallofus.org/data-tools/survey-explorer/"/>
    <hyperlink ref="D12" r:id="rId11" display="https://support.researchallofus.org/hc/en-us/articles/6085285773204-The-Basics-Baseline-Survey-Details-and-Resources"/>
    <hyperlink ref="D13" r:id="rId12" display="https://researchallofus.org/wp-content/themes/research-hub-wordpress-theme/media/surveys/Survey_Basics_Eng_Src.pdf"/>
    <hyperlink ref="D14" r:id="rId13" display="https://support.researchallofus.org/hc/en-us/articles/6085586512660-Lifestyle-Baseline-Survey-Details-and-Resources"/>
    <hyperlink ref="D15" r:id="rId14" display="https://support.researchallofus.org/hc/en-us/articles/6085831989524-Overall-Health-Baseline-Survey-Details-and-Resources"/>
    <hyperlink ref="D16" r:id="rId15" display="https://support.researchallofus.org/hc/en-us/articles/29384465580564-Emotional-Health-History-and-Well-Being-Follow-Up-Survey-Details-and-Re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40"/>
    <col collapsed="false" customWidth="true" hidden="false" outlineLevel="0" max="14" min="14" style="0" width="22"/>
    <col collapsed="false" customWidth="true" hidden="false" outlineLevel="0" max="15" min="15" style="0" width="50"/>
    <col collapsed="false" customWidth="true" hidden="false" outlineLevel="0" max="16" min="16" style="0" width="16"/>
  </cols>
  <sheetData>
    <row r="1" customFormat="false" ht="35.05" hidden="false" customHeight="false" outlineLevel="0" collapsed="false">
      <c r="A1" s="7" t="s">
        <v>99</v>
      </c>
      <c r="B1" s="7" t="s">
        <v>100</v>
      </c>
      <c r="C1" s="7" t="s">
        <v>101</v>
      </c>
      <c r="D1" s="7" t="s">
        <v>102</v>
      </c>
      <c r="E1" s="7" t="s">
        <v>103</v>
      </c>
      <c r="F1" s="7" t="s">
        <v>104</v>
      </c>
      <c r="G1" s="7" t="s">
        <v>18</v>
      </c>
      <c r="H1" s="7" t="s">
        <v>105</v>
      </c>
      <c r="I1" s="7" t="s">
        <v>106</v>
      </c>
      <c r="J1" s="7" t="s">
        <v>107</v>
      </c>
      <c r="K1" s="7" t="s">
        <v>108</v>
      </c>
      <c r="L1" s="7" t="s">
        <v>109</v>
      </c>
      <c r="M1" s="7" t="s">
        <v>43</v>
      </c>
      <c r="N1" s="7" t="s">
        <v>110</v>
      </c>
      <c r="O1" s="7" t="s">
        <v>111</v>
      </c>
      <c r="P1" s="7" t="s">
        <v>112</v>
      </c>
    </row>
    <row r="2" customFormat="false" ht="15" hidden="false" customHeight="false" outlineLevel="0" collapsed="false">
      <c r="A2" s="8" t="s">
        <v>113</v>
      </c>
      <c r="B2" s="9" t="s">
        <v>114</v>
      </c>
      <c r="C2" s="8" t="s">
        <v>115</v>
      </c>
      <c r="D2" s="8" t="s">
        <v>116</v>
      </c>
      <c r="E2" s="9"/>
      <c r="F2" s="8"/>
      <c r="G2" s="8"/>
      <c r="H2" s="8"/>
      <c r="I2" s="9"/>
      <c r="J2" s="8" t="s">
        <v>117</v>
      </c>
      <c r="K2" s="8" t="s">
        <v>118</v>
      </c>
      <c r="L2" s="9"/>
      <c r="M2" s="9"/>
      <c r="N2" s="8" t="s">
        <v>119</v>
      </c>
      <c r="O2" s="9"/>
      <c r="P2" s="8"/>
    </row>
    <row r="3" customFormat="false" ht="23.85" hidden="false" customHeight="false" outlineLevel="0" collapsed="false">
      <c r="A3" s="8" t="s">
        <v>113</v>
      </c>
      <c r="B3" s="9" t="s">
        <v>120</v>
      </c>
      <c r="C3" s="8" t="s">
        <v>121</v>
      </c>
      <c r="D3" s="8" t="s">
        <v>116</v>
      </c>
      <c r="E3" s="9"/>
      <c r="F3" s="8" t="s">
        <v>122</v>
      </c>
      <c r="G3" s="8"/>
      <c r="H3" s="8"/>
      <c r="I3" s="9"/>
      <c r="J3" s="8" t="s">
        <v>16</v>
      </c>
      <c r="K3" s="8" t="s">
        <v>123</v>
      </c>
      <c r="L3" s="9"/>
      <c r="M3" s="9" t="s">
        <v>124</v>
      </c>
      <c r="N3" s="8" t="s">
        <v>119</v>
      </c>
      <c r="O3" s="11" t="s">
        <v>125</v>
      </c>
      <c r="P3" s="8"/>
    </row>
    <row r="4" customFormat="false" ht="23.85" hidden="false" customHeight="false" outlineLevel="0" collapsed="false">
      <c r="A4" s="8" t="s">
        <v>113</v>
      </c>
      <c r="B4" s="9" t="s">
        <v>126</v>
      </c>
      <c r="C4" s="8" t="s">
        <v>127</v>
      </c>
      <c r="D4" s="8" t="s">
        <v>128</v>
      </c>
      <c r="E4" s="9" t="s">
        <v>129</v>
      </c>
      <c r="F4" s="8" t="s">
        <v>130</v>
      </c>
      <c r="G4" s="8"/>
      <c r="H4" s="8"/>
      <c r="I4" s="9"/>
      <c r="J4" s="8" t="s">
        <v>16</v>
      </c>
      <c r="K4" s="8" t="s">
        <v>123</v>
      </c>
      <c r="L4" s="9"/>
      <c r="M4" s="9" t="s">
        <v>131</v>
      </c>
      <c r="N4" s="8" t="s">
        <v>119</v>
      </c>
      <c r="O4" s="11" t="s">
        <v>132</v>
      </c>
      <c r="P4" s="8"/>
    </row>
    <row r="5" customFormat="false" ht="23.85" hidden="false" customHeight="false" outlineLevel="0" collapsed="false">
      <c r="A5" s="8" t="s">
        <v>113</v>
      </c>
      <c r="B5" s="9" t="s">
        <v>133</v>
      </c>
      <c r="C5" s="8" t="s">
        <v>134</v>
      </c>
      <c r="D5" s="8" t="s">
        <v>135</v>
      </c>
      <c r="E5" s="9" t="s">
        <v>136</v>
      </c>
      <c r="F5" s="8"/>
      <c r="G5" s="8"/>
      <c r="H5" s="8"/>
      <c r="I5" s="9"/>
      <c r="J5" s="8" t="s">
        <v>117</v>
      </c>
      <c r="K5" s="8" t="s">
        <v>118</v>
      </c>
      <c r="L5" s="9"/>
      <c r="M5" s="9" t="s">
        <v>137</v>
      </c>
      <c r="N5" s="8" t="s">
        <v>119</v>
      </c>
      <c r="O5" s="9"/>
      <c r="P5" s="8"/>
    </row>
    <row r="6" customFormat="false" ht="35.05" hidden="false" customHeight="false" outlineLevel="0" collapsed="false">
      <c r="A6" s="8" t="s">
        <v>113</v>
      </c>
      <c r="B6" s="9" t="s">
        <v>138</v>
      </c>
      <c r="C6" s="8" t="s">
        <v>139</v>
      </c>
      <c r="D6" s="8" t="s">
        <v>140</v>
      </c>
      <c r="E6" s="9" t="s">
        <v>141</v>
      </c>
      <c r="F6" s="8" t="s">
        <v>142</v>
      </c>
      <c r="G6" s="8"/>
      <c r="H6" s="8"/>
      <c r="I6" s="9"/>
      <c r="J6" s="8" t="s">
        <v>16</v>
      </c>
      <c r="K6" s="8" t="s">
        <v>123</v>
      </c>
      <c r="L6" s="9"/>
      <c r="M6" s="9" t="s">
        <v>143</v>
      </c>
      <c r="N6" s="8" t="s">
        <v>119</v>
      </c>
      <c r="O6" s="11" t="s">
        <v>144</v>
      </c>
      <c r="P6" s="8"/>
    </row>
    <row r="7" customFormat="false" ht="23.85" hidden="false" customHeight="false" outlineLevel="0" collapsed="false">
      <c r="A7" s="8" t="s">
        <v>113</v>
      </c>
      <c r="B7" s="9" t="s">
        <v>145</v>
      </c>
      <c r="C7" s="8" t="s">
        <v>146</v>
      </c>
      <c r="D7" s="8" t="s">
        <v>128</v>
      </c>
      <c r="E7" s="9" t="s">
        <v>147</v>
      </c>
      <c r="F7" s="8" t="s">
        <v>148</v>
      </c>
      <c r="G7" s="8"/>
      <c r="H7" s="8"/>
      <c r="I7" s="9"/>
      <c r="J7" s="8" t="s">
        <v>16</v>
      </c>
      <c r="K7" s="8" t="s">
        <v>123</v>
      </c>
      <c r="L7" s="9"/>
      <c r="M7" s="9" t="s">
        <v>149</v>
      </c>
      <c r="N7" s="8" t="s">
        <v>119</v>
      </c>
      <c r="O7" s="11" t="s">
        <v>150</v>
      </c>
      <c r="P7" s="8"/>
    </row>
    <row r="8" customFormat="false" ht="15" hidden="false" customHeight="false" outlineLevel="0" collapsed="false">
      <c r="A8" s="8" t="s">
        <v>113</v>
      </c>
      <c r="B8" s="9" t="s">
        <v>151</v>
      </c>
      <c r="C8" s="8" t="s">
        <v>152</v>
      </c>
      <c r="D8" s="8" t="s">
        <v>116</v>
      </c>
      <c r="E8" s="9"/>
      <c r="F8" s="8"/>
      <c r="G8" s="8"/>
      <c r="H8" s="8"/>
      <c r="I8" s="9"/>
      <c r="J8" s="8" t="s">
        <v>117</v>
      </c>
      <c r="K8" s="8" t="s">
        <v>118</v>
      </c>
      <c r="L8" s="9"/>
      <c r="M8" s="9" t="s">
        <v>153</v>
      </c>
      <c r="N8" s="8" t="s">
        <v>119</v>
      </c>
      <c r="O8" s="9"/>
      <c r="P8" s="8"/>
    </row>
    <row r="9" customFormat="false" ht="35.05" hidden="false" customHeight="false" outlineLevel="0" collapsed="false">
      <c r="A9" s="8" t="s">
        <v>113</v>
      </c>
      <c r="B9" s="9" t="s">
        <v>154</v>
      </c>
      <c r="C9" s="8" t="s">
        <v>155</v>
      </c>
      <c r="D9" s="8" t="s">
        <v>135</v>
      </c>
      <c r="E9" s="9" t="s">
        <v>156</v>
      </c>
      <c r="F9" s="8"/>
      <c r="G9" s="8"/>
      <c r="H9" s="8"/>
      <c r="I9" s="9"/>
      <c r="J9" s="8" t="s">
        <v>117</v>
      </c>
      <c r="K9" s="8" t="s">
        <v>118</v>
      </c>
      <c r="L9" s="9"/>
      <c r="M9" s="9"/>
      <c r="N9" s="8" t="s">
        <v>119</v>
      </c>
      <c r="O9" s="9"/>
      <c r="P9" s="8"/>
    </row>
    <row r="10" customFormat="false" ht="23.85" hidden="false" customHeight="false" outlineLevel="0" collapsed="false">
      <c r="A10" s="8" t="s">
        <v>157</v>
      </c>
      <c r="B10" s="9" t="s">
        <v>158</v>
      </c>
      <c r="C10" s="8" t="s">
        <v>159</v>
      </c>
      <c r="D10" s="8" t="s">
        <v>128</v>
      </c>
      <c r="E10" s="9" t="s">
        <v>160</v>
      </c>
      <c r="F10" s="8"/>
      <c r="G10" s="8"/>
      <c r="H10" s="8"/>
      <c r="I10" s="9" t="s">
        <v>161</v>
      </c>
      <c r="J10" s="8" t="s">
        <v>35</v>
      </c>
      <c r="K10" s="8" t="s">
        <v>118</v>
      </c>
      <c r="L10" s="9"/>
      <c r="M10" s="9" t="s">
        <v>162</v>
      </c>
      <c r="N10" s="8" t="s">
        <v>119</v>
      </c>
      <c r="O10" s="11" t="s">
        <v>84</v>
      </c>
      <c r="P10" s="8"/>
    </row>
    <row r="11" customFormat="false" ht="57.45" hidden="false" customHeight="false" outlineLevel="0" collapsed="false">
      <c r="A11" s="8" t="s">
        <v>157</v>
      </c>
      <c r="B11" s="9" t="s">
        <v>163</v>
      </c>
      <c r="C11" s="8" t="s">
        <v>164</v>
      </c>
      <c r="D11" s="8" t="s">
        <v>140</v>
      </c>
      <c r="E11" s="9" t="s">
        <v>165</v>
      </c>
      <c r="F11" s="8"/>
      <c r="G11" s="8"/>
      <c r="H11" s="8"/>
      <c r="I11" s="9" t="s">
        <v>161</v>
      </c>
      <c r="J11" s="8" t="s">
        <v>35</v>
      </c>
      <c r="K11" s="8" t="s">
        <v>118</v>
      </c>
      <c r="L11" s="9"/>
      <c r="M11" s="9" t="s">
        <v>166</v>
      </c>
      <c r="N11" s="8" t="s">
        <v>119</v>
      </c>
      <c r="O11" s="11" t="s">
        <v>84</v>
      </c>
      <c r="P11" s="8"/>
    </row>
    <row r="12" customFormat="false" ht="35.05" hidden="false" customHeight="false" outlineLevel="0" collapsed="false">
      <c r="A12" s="8" t="s">
        <v>157</v>
      </c>
      <c r="B12" s="9" t="s">
        <v>167</v>
      </c>
      <c r="C12" s="8" t="s">
        <v>168</v>
      </c>
      <c r="D12" s="8" t="s">
        <v>140</v>
      </c>
      <c r="E12" s="9" t="s">
        <v>169</v>
      </c>
      <c r="F12" s="8"/>
      <c r="G12" s="8"/>
      <c r="H12" s="8"/>
      <c r="I12" s="9" t="s">
        <v>161</v>
      </c>
      <c r="J12" s="8" t="s">
        <v>35</v>
      </c>
      <c r="K12" s="8" t="s">
        <v>118</v>
      </c>
      <c r="L12" s="9"/>
      <c r="M12" s="9" t="s">
        <v>170</v>
      </c>
      <c r="N12" s="8" t="s">
        <v>119</v>
      </c>
      <c r="O12" s="11" t="s">
        <v>84</v>
      </c>
      <c r="P12" s="8"/>
    </row>
    <row r="13" customFormat="false" ht="35.05" hidden="false" customHeight="false" outlineLevel="0" collapsed="false">
      <c r="A13" s="8" t="s">
        <v>157</v>
      </c>
      <c r="B13" s="9" t="s">
        <v>171</v>
      </c>
      <c r="C13" s="8" t="s">
        <v>172</v>
      </c>
      <c r="D13" s="8" t="s">
        <v>128</v>
      </c>
      <c r="E13" s="9" t="s">
        <v>173</v>
      </c>
      <c r="F13" s="8"/>
      <c r="G13" s="8"/>
      <c r="H13" s="8"/>
      <c r="I13" s="9" t="s">
        <v>161</v>
      </c>
      <c r="J13" s="8" t="s">
        <v>35</v>
      </c>
      <c r="K13" s="8" t="s">
        <v>118</v>
      </c>
      <c r="L13" s="9"/>
      <c r="M13" s="9" t="s">
        <v>174</v>
      </c>
      <c r="N13" s="8" t="s">
        <v>119</v>
      </c>
      <c r="O13" s="11" t="s">
        <v>84</v>
      </c>
      <c r="P13" s="8"/>
    </row>
    <row r="14" customFormat="false" ht="23.85" hidden="false" customHeight="false" outlineLevel="0" collapsed="false">
      <c r="A14" s="8" t="s">
        <v>157</v>
      </c>
      <c r="B14" s="9" t="s">
        <v>175</v>
      </c>
      <c r="C14" s="8" t="s">
        <v>176</v>
      </c>
      <c r="D14" s="8" t="s">
        <v>140</v>
      </c>
      <c r="E14" s="9" t="s">
        <v>177</v>
      </c>
      <c r="F14" s="8"/>
      <c r="G14" s="8"/>
      <c r="H14" s="8"/>
      <c r="I14" s="9" t="s">
        <v>161</v>
      </c>
      <c r="J14" s="8" t="s">
        <v>35</v>
      </c>
      <c r="K14" s="8" t="s">
        <v>118</v>
      </c>
      <c r="L14" s="9"/>
      <c r="M14" s="9" t="s">
        <v>178</v>
      </c>
      <c r="N14" s="8" t="s">
        <v>119</v>
      </c>
      <c r="O14" s="11" t="s">
        <v>84</v>
      </c>
      <c r="P14" s="8"/>
    </row>
    <row r="15" customFormat="false" ht="46.25" hidden="false" customHeight="false" outlineLevel="0" collapsed="false">
      <c r="A15" s="8" t="s">
        <v>157</v>
      </c>
      <c r="B15" s="9" t="s">
        <v>179</v>
      </c>
      <c r="C15" s="8" t="s">
        <v>180</v>
      </c>
      <c r="D15" s="8" t="s">
        <v>135</v>
      </c>
      <c r="E15" s="9" t="s">
        <v>181</v>
      </c>
      <c r="F15" s="8"/>
      <c r="G15" s="8"/>
      <c r="H15" s="8"/>
      <c r="I15" s="9" t="s">
        <v>161</v>
      </c>
      <c r="J15" s="8" t="s">
        <v>35</v>
      </c>
      <c r="K15" s="8" t="s">
        <v>118</v>
      </c>
      <c r="L15" s="9"/>
      <c r="M15" s="9" t="s">
        <v>182</v>
      </c>
      <c r="N15" s="8" t="s">
        <v>119</v>
      </c>
      <c r="O15" s="11" t="s">
        <v>84</v>
      </c>
      <c r="P15" s="8"/>
    </row>
    <row r="16" customFormat="false" ht="23.85" hidden="false" customHeight="false" outlineLevel="0" collapsed="false">
      <c r="A16" s="8" t="s">
        <v>157</v>
      </c>
      <c r="B16" s="9" t="s">
        <v>183</v>
      </c>
      <c r="C16" s="8" t="s">
        <v>184</v>
      </c>
      <c r="D16" s="8" t="s">
        <v>128</v>
      </c>
      <c r="E16" s="9" t="s">
        <v>185</v>
      </c>
      <c r="F16" s="8"/>
      <c r="G16" s="8"/>
      <c r="H16" s="8"/>
      <c r="I16" s="9" t="s">
        <v>161</v>
      </c>
      <c r="J16" s="8" t="s">
        <v>35</v>
      </c>
      <c r="K16" s="8" t="s">
        <v>118</v>
      </c>
      <c r="L16" s="9"/>
      <c r="M16" s="9" t="s">
        <v>186</v>
      </c>
      <c r="N16" s="8" t="s">
        <v>119</v>
      </c>
      <c r="O16" s="11" t="s">
        <v>84</v>
      </c>
      <c r="P16" s="8"/>
    </row>
    <row r="17" customFormat="false" ht="35.05" hidden="false" customHeight="false" outlineLevel="0" collapsed="false">
      <c r="A17" s="8" t="s">
        <v>157</v>
      </c>
      <c r="B17" s="9" t="s">
        <v>187</v>
      </c>
      <c r="C17" s="8" t="s">
        <v>188</v>
      </c>
      <c r="D17" s="8" t="s">
        <v>135</v>
      </c>
      <c r="E17" s="9" t="s">
        <v>189</v>
      </c>
      <c r="F17" s="8"/>
      <c r="G17" s="8"/>
      <c r="H17" s="8"/>
      <c r="I17" s="9" t="s">
        <v>161</v>
      </c>
      <c r="J17" s="8" t="s">
        <v>35</v>
      </c>
      <c r="K17" s="8" t="s">
        <v>118</v>
      </c>
      <c r="L17" s="9"/>
      <c r="M17" s="9" t="s">
        <v>186</v>
      </c>
      <c r="N17" s="8" t="s">
        <v>119</v>
      </c>
      <c r="O17" s="11" t="s">
        <v>84</v>
      </c>
      <c r="P17" s="8"/>
    </row>
    <row r="18" customFormat="false" ht="23.85" hidden="false" customHeight="false" outlineLevel="0" collapsed="false">
      <c r="A18" s="8" t="s">
        <v>157</v>
      </c>
      <c r="B18" s="9" t="s">
        <v>190</v>
      </c>
      <c r="C18" s="8" t="s">
        <v>191</v>
      </c>
      <c r="D18" s="8" t="s">
        <v>116</v>
      </c>
      <c r="E18" s="9"/>
      <c r="F18" s="8"/>
      <c r="G18" s="8"/>
      <c r="H18" s="8"/>
      <c r="I18" s="9" t="s">
        <v>161</v>
      </c>
      <c r="J18" s="8" t="s">
        <v>35</v>
      </c>
      <c r="K18" s="8" t="s">
        <v>118</v>
      </c>
      <c r="L18" s="9"/>
      <c r="M18" s="9" t="s">
        <v>192</v>
      </c>
      <c r="N18" s="8" t="s">
        <v>119</v>
      </c>
      <c r="O18" s="11" t="s">
        <v>84</v>
      </c>
      <c r="P18" s="8"/>
    </row>
    <row r="19" customFormat="false" ht="23.85" hidden="false" customHeight="false" outlineLevel="0" collapsed="false">
      <c r="A19" s="8" t="s">
        <v>157</v>
      </c>
      <c r="B19" s="9" t="s">
        <v>193</v>
      </c>
      <c r="C19" s="8" t="s">
        <v>194</v>
      </c>
      <c r="D19" s="8" t="s">
        <v>116</v>
      </c>
      <c r="E19" s="9"/>
      <c r="F19" s="8"/>
      <c r="G19" s="8"/>
      <c r="H19" s="8"/>
      <c r="I19" s="9" t="s">
        <v>161</v>
      </c>
      <c r="J19" s="8" t="s">
        <v>35</v>
      </c>
      <c r="K19" s="8" t="s">
        <v>118</v>
      </c>
      <c r="L19" s="9" t="s">
        <v>195</v>
      </c>
      <c r="M19" s="9" t="s">
        <v>196</v>
      </c>
      <c r="N19" s="8" t="s">
        <v>119</v>
      </c>
      <c r="O19" s="11" t="s">
        <v>84</v>
      </c>
      <c r="P19" s="8"/>
    </row>
    <row r="20" customFormat="false" ht="23.85" hidden="false" customHeight="false" outlineLevel="0" collapsed="false">
      <c r="A20" s="8" t="s">
        <v>157</v>
      </c>
      <c r="B20" s="9" t="s">
        <v>197</v>
      </c>
      <c r="C20" s="8" t="s">
        <v>198</v>
      </c>
      <c r="D20" s="8" t="s">
        <v>128</v>
      </c>
      <c r="E20" s="9" t="s">
        <v>199</v>
      </c>
      <c r="F20" s="8"/>
      <c r="G20" s="8"/>
      <c r="H20" s="8"/>
      <c r="I20" s="9" t="s">
        <v>161</v>
      </c>
      <c r="J20" s="8" t="s">
        <v>35</v>
      </c>
      <c r="K20" s="8" t="s">
        <v>118</v>
      </c>
      <c r="L20" s="9"/>
      <c r="M20" s="9" t="s">
        <v>200</v>
      </c>
      <c r="N20" s="8" t="s">
        <v>119</v>
      </c>
      <c r="O20" s="11" t="s">
        <v>84</v>
      </c>
      <c r="P20" s="8"/>
    </row>
    <row r="21" customFormat="false" ht="46.25" hidden="false" customHeight="false" outlineLevel="0" collapsed="false">
      <c r="A21" s="8" t="s">
        <v>157</v>
      </c>
      <c r="B21" s="9" t="s">
        <v>201</v>
      </c>
      <c r="C21" s="8" t="s">
        <v>202</v>
      </c>
      <c r="D21" s="8" t="s">
        <v>140</v>
      </c>
      <c r="E21" s="9" t="s">
        <v>203</v>
      </c>
      <c r="F21" s="8"/>
      <c r="G21" s="8"/>
      <c r="H21" s="8"/>
      <c r="I21" s="9" t="s">
        <v>161</v>
      </c>
      <c r="J21" s="8" t="s">
        <v>35</v>
      </c>
      <c r="K21" s="8" t="s">
        <v>118</v>
      </c>
      <c r="L21" s="9" t="s">
        <v>204</v>
      </c>
      <c r="M21" s="9" t="s">
        <v>205</v>
      </c>
      <c r="N21" s="8" t="s">
        <v>119</v>
      </c>
      <c r="O21" s="11" t="s">
        <v>84</v>
      </c>
      <c r="P21" s="8"/>
    </row>
    <row r="22" customFormat="false" ht="23.85" hidden="false" customHeight="false" outlineLevel="0" collapsed="false">
      <c r="A22" s="8" t="s">
        <v>157</v>
      </c>
      <c r="B22" s="9" t="s">
        <v>206</v>
      </c>
      <c r="C22" s="8" t="s">
        <v>207</v>
      </c>
      <c r="D22" s="8" t="s">
        <v>128</v>
      </c>
      <c r="E22" s="9" t="s">
        <v>185</v>
      </c>
      <c r="F22" s="8"/>
      <c r="G22" s="8"/>
      <c r="H22" s="8"/>
      <c r="I22" s="9" t="s">
        <v>161</v>
      </c>
      <c r="J22" s="8" t="s">
        <v>35</v>
      </c>
      <c r="K22" s="8" t="s">
        <v>118</v>
      </c>
      <c r="L22" s="9"/>
      <c r="M22" s="9" t="s">
        <v>208</v>
      </c>
      <c r="N22" s="8" t="s">
        <v>119</v>
      </c>
      <c r="O22" s="11" t="s">
        <v>84</v>
      </c>
      <c r="P22" s="8"/>
    </row>
    <row r="23" customFormat="false" ht="23.85" hidden="false" customHeight="false" outlineLevel="0" collapsed="false">
      <c r="A23" s="8" t="s">
        <v>157</v>
      </c>
      <c r="B23" s="9" t="s">
        <v>209</v>
      </c>
      <c r="C23" s="8" t="s">
        <v>210</v>
      </c>
      <c r="D23" s="8" t="s">
        <v>128</v>
      </c>
      <c r="E23" s="9" t="s">
        <v>185</v>
      </c>
      <c r="F23" s="8"/>
      <c r="G23" s="8"/>
      <c r="H23" s="8"/>
      <c r="I23" s="9" t="s">
        <v>161</v>
      </c>
      <c r="J23" s="8" t="s">
        <v>35</v>
      </c>
      <c r="K23" s="8" t="s">
        <v>118</v>
      </c>
      <c r="L23" s="9"/>
      <c r="M23" s="9" t="s">
        <v>208</v>
      </c>
      <c r="N23" s="8" t="s">
        <v>119</v>
      </c>
      <c r="O23" s="11" t="s">
        <v>84</v>
      </c>
      <c r="P23" s="8"/>
    </row>
    <row r="24" customFormat="false" ht="23.85" hidden="false" customHeight="false" outlineLevel="0" collapsed="false">
      <c r="A24" s="8" t="s">
        <v>157</v>
      </c>
      <c r="B24" s="9" t="s">
        <v>211</v>
      </c>
      <c r="C24" s="8" t="s">
        <v>212</v>
      </c>
      <c r="D24" s="8" t="s">
        <v>128</v>
      </c>
      <c r="E24" s="9" t="s">
        <v>185</v>
      </c>
      <c r="F24" s="8"/>
      <c r="G24" s="8"/>
      <c r="H24" s="8"/>
      <c r="I24" s="9" t="s">
        <v>161</v>
      </c>
      <c r="J24" s="8" t="s">
        <v>35</v>
      </c>
      <c r="K24" s="8" t="s">
        <v>118</v>
      </c>
      <c r="L24" s="9"/>
      <c r="M24" s="9" t="s">
        <v>208</v>
      </c>
      <c r="N24" s="8" t="s">
        <v>119</v>
      </c>
      <c r="O24" s="11" t="s">
        <v>84</v>
      </c>
      <c r="P24" s="8"/>
    </row>
    <row r="25" customFormat="false" ht="23.85" hidden="false" customHeight="false" outlineLevel="0" collapsed="false">
      <c r="A25" s="8" t="s">
        <v>157</v>
      </c>
      <c r="B25" s="9" t="s">
        <v>213</v>
      </c>
      <c r="C25" s="8" t="s">
        <v>214</v>
      </c>
      <c r="D25" s="8" t="s">
        <v>128</v>
      </c>
      <c r="E25" s="9" t="s">
        <v>185</v>
      </c>
      <c r="F25" s="8"/>
      <c r="G25" s="8"/>
      <c r="H25" s="8"/>
      <c r="I25" s="9" t="s">
        <v>161</v>
      </c>
      <c r="J25" s="8" t="s">
        <v>35</v>
      </c>
      <c r="K25" s="8" t="s">
        <v>118</v>
      </c>
      <c r="L25" s="9"/>
      <c r="M25" s="9" t="s">
        <v>208</v>
      </c>
      <c r="N25" s="8" t="s">
        <v>119</v>
      </c>
      <c r="O25" s="11" t="s">
        <v>84</v>
      </c>
      <c r="P25" s="8"/>
    </row>
    <row r="26" customFormat="false" ht="15" hidden="false" customHeight="false" outlineLevel="0" collapsed="false">
      <c r="A26" s="8" t="s">
        <v>157</v>
      </c>
      <c r="B26" s="9" t="s">
        <v>215</v>
      </c>
      <c r="C26" s="8" t="s">
        <v>216</v>
      </c>
      <c r="D26" s="8" t="s">
        <v>128</v>
      </c>
      <c r="E26" s="9" t="s">
        <v>185</v>
      </c>
      <c r="F26" s="8"/>
      <c r="G26" s="8"/>
      <c r="H26" s="8"/>
      <c r="I26" s="9" t="s">
        <v>161</v>
      </c>
      <c r="J26" s="8" t="s">
        <v>35</v>
      </c>
      <c r="K26" s="8" t="s">
        <v>118</v>
      </c>
      <c r="L26" s="9"/>
      <c r="M26" s="9" t="s">
        <v>208</v>
      </c>
      <c r="N26" s="8" t="s">
        <v>119</v>
      </c>
      <c r="O26" s="11" t="s">
        <v>84</v>
      </c>
      <c r="P26" s="8"/>
    </row>
    <row r="27" customFormat="false" ht="23.85" hidden="false" customHeight="false" outlineLevel="0" collapsed="false">
      <c r="A27" s="8" t="s">
        <v>157</v>
      </c>
      <c r="B27" s="9" t="s">
        <v>217</v>
      </c>
      <c r="C27" s="8" t="s">
        <v>218</v>
      </c>
      <c r="D27" s="8" t="s">
        <v>128</v>
      </c>
      <c r="E27" s="9" t="s">
        <v>185</v>
      </c>
      <c r="F27" s="8"/>
      <c r="G27" s="8"/>
      <c r="H27" s="8"/>
      <c r="I27" s="9" t="s">
        <v>161</v>
      </c>
      <c r="J27" s="8" t="s">
        <v>35</v>
      </c>
      <c r="K27" s="8" t="s">
        <v>118</v>
      </c>
      <c r="L27" s="9"/>
      <c r="M27" s="9" t="s">
        <v>208</v>
      </c>
      <c r="N27" s="8" t="s">
        <v>119</v>
      </c>
      <c r="O27" s="11" t="s">
        <v>84</v>
      </c>
      <c r="P27" s="8"/>
    </row>
    <row r="28" customFormat="false" ht="46.25" hidden="false" customHeight="false" outlineLevel="0" collapsed="false">
      <c r="A28" s="8" t="s">
        <v>157</v>
      </c>
      <c r="B28" s="9" t="s">
        <v>219</v>
      </c>
      <c r="C28" s="8" t="s">
        <v>220</v>
      </c>
      <c r="D28" s="8" t="s">
        <v>140</v>
      </c>
      <c r="E28" s="9" t="s">
        <v>221</v>
      </c>
      <c r="F28" s="8"/>
      <c r="G28" s="8"/>
      <c r="H28" s="8"/>
      <c r="I28" s="9" t="s">
        <v>161</v>
      </c>
      <c r="J28" s="8" t="s">
        <v>35</v>
      </c>
      <c r="K28" s="8" t="s">
        <v>118</v>
      </c>
      <c r="L28" s="9"/>
      <c r="M28" s="9" t="s">
        <v>186</v>
      </c>
      <c r="N28" s="8" t="s">
        <v>119</v>
      </c>
      <c r="O28" s="11" t="s">
        <v>84</v>
      </c>
      <c r="P28" s="8"/>
    </row>
    <row r="29" customFormat="false" ht="35.05" hidden="false" customHeight="false" outlineLevel="0" collapsed="false">
      <c r="A29" s="8" t="s">
        <v>157</v>
      </c>
      <c r="B29" s="9" t="s">
        <v>222</v>
      </c>
      <c r="C29" s="8" t="s">
        <v>223</v>
      </c>
      <c r="D29" s="8" t="s">
        <v>135</v>
      </c>
      <c r="E29" s="9" t="s">
        <v>224</v>
      </c>
      <c r="F29" s="8"/>
      <c r="G29" s="8"/>
      <c r="H29" s="8"/>
      <c r="I29" s="9" t="s">
        <v>161</v>
      </c>
      <c r="J29" s="8" t="s">
        <v>35</v>
      </c>
      <c r="K29" s="8" t="s">
        <v>118</v>
      </c>
      <c r="L29" s="9"/>
      <c r="M29" s="9" t="s">
        <v>186</v>
      </c>
      <c r="N29" s="8" t="s">
        <v>119</v>
      </c>
      <c r="O29" s="11" t="s">
        <v>84</v>
      </c>
      <c r="P29" s="8"/>
    </row>
    <row r="30" customFormat="false" ht="15" hidden="false" customHeight="false" outlineLevel="0" collapsed="false">
      <c r="A30" s="8" t="s">
        <v>157</v>
      </c>
      <c r="B30" s="9" t="s">
        <v>225</v>
      </c>
      <c r="C30" s="8" t="s">
        <v>226</v>
      </c>
      <c r="D30" s="8" t="s">
        <v>128</v>
      </c>
      <c r="E30" s="9" t="s">
        <v>227</v>
      </c>
      <c r="F30" s="8"/>
      <c r="G30" s="8"/>
      <c r="H30" s="8"/>
      <c r="I30" s="9" t="s">
        <v>161</v>
      </c>
      <c r="J30" s="8" t="s">
        <v>35</v>
      </c>
      <c r="K30" s="8" t="s">
        <v>118</v>
      </c>
      <c r="L30" s="9"/>
      <c r="M30" s="9" t="s">
        <v>186</v>
      </c>
      <c r="N30" s="8" t="s">
        <v>119</v>
      </c>
      <c r="O30" s="11" t="s">
        <v>84</v>
      </c>
      <c r="P30" s="8"/>
    </row>
    <row r="31" customFormat="false" ht="46.25" hidden="false" customHeight="false" outlineLevel="0" collapsed="false">
      <c r="A31" s="8" t="s">
        <v>157</v>
      </c>
      <c r="B31" s="9" t="s">
        <v>228</v>
      </c>
      <c r="C31" s="8" t="s">
        <v>229</v>
      </c>
      <c r="D31" s="8" t="s">
        <v>135</v>
      </c>
      <c r="E31" s="9" t="s">
        <v>230</v>
      </c>
      <c r="F31" s="8"/>
      <c r="G31" s="8"/>
      <c r="H31" s="8"/>
      <c r="I31" s="9" t="s">
        <v>161</v>
      </c>
      <c r="J31" s="8" t="s">
        <v>35</v>
      </c>
      <c r="K31" s="8" t="s">
        <v>118</v>
      </c>
      <c r="L31" s="9" t="s">
        <v>231</v>
      </c>
      <c r="M31" s="9" t="s">
        <v>232</v>
      </c>
      <c r="N31" s="8" t="s">
        <v>119</v>
      </c>
      <c r="O31" s="11" t="s">
        <v>84</v>
      </c>
      <c r="P31" s="8"/>
    </row>
    <row r="32" customFormat="false" ht="23.85" hidden="false" customHeight="false" outlineLevel="0" collapsed="false">
      <c r="A32" s="8" t="s">
        <v>157</v>
      </c>
      <c r="B32" s="9" t="s">
        <v>233</v>
      </c>
      <c r="C32" s="8" t="s">
        <v>234</v>
      </c>
      <c r="D32" s="8" t="s">
        <v>135</v>
      </c>
      <c r="E32" s="9" t="s">
        <v>235</v>
      </c>
      <c r="F32" s="8"/>
      <c r="G32" s="8"/>
      <c r="H32" s="8"/>
      <c r="I32" s="9" t="s">
        <v>161</v>
      </c>
      <c r="J32" s="8" t="s">
        <v>35</v>
      </c>
      <c r="K32" s="8" t="s">
        <v>118</v>
      </c>
      <c r="L32" s="9"/>
      <c r="M32" s="9" t="s">
        <v>236</v>
      </c>
      <c r="N32" s="8" t="s">
        <v>119</v>
      </c>
      <c r="O32" s="11" t="s">
        <v>84</v>
      </c>
      <c r="P32" s="8"/>
    </row>
    <row r="33" customFormat="false" ht="23.85" hidden="false" customHeight="false" outlineLevel="0" collapsed="false">
      <c r="A33" s="8" t="s">
        <v>157</v>
      </c>
      <c r="B33" s="9" t="s">
        <v>237</v>
      </c>
      <c r="C33" s="8" t="s">
        <v>238</v>
      </c>
      <c r="D33" s="8" t="s">
        <v>128</v>
      </c>
      <c r="E33" s="9" t="s">
        <v>239</v>
      </c>
      <c r="F33" s="8"/>
      <c r="G33" s="8"/>
      <c r="H33" s="8"/>
      <c r="I33" s="9" t="s">
        <v>161</v>
      </c>
      <c r="J33" s="8" t="s">
        <v>35</v>
      </c>
      <c r="K33" s="8" t="s">
        <v>118</v>
      </c>
      <c r="L33" s="9"/>
      <c r="M33" s="9" t="s">
        <v>240</v>
      </c>
      <c r="N33" s="8" t="s">
        <v>119</v>
      </c>
      <c r="O33" s="11" t="s">
        <v>84</v>
      </c>
      <c r="P33" s="8"/>
    </row>
    <row r="34" customFormat="false" ht="23.85" hidden="false" customHeight="false" outlineLevel="0" collapsed="false">
      <c r="A34" s="8" t="s">
        <v>241</v>
      </c>
      <c r="B34" s="9" t="s">
        <v>242</v>
      </c>
      <c r="C34" s="8" t="s">
        <v>243</v>
      </c>
      <c r="D34" s="8" t="s">
        <v>116</v>
      </c>
      <c r="E34" s="9"/>
      <c r="F34" s="8" t="s">
        <v>244</v>
      </c>
      <c r="G34" s="8"/>
      <c r="H34" s="8"/>
      <c r="I34" s="9"/>
      <c r="J34" s="8" t="s">
        <v>16</v>
      </c>
      <c r="K34" s="8" t="s">
        <v>245</v>
      </c>
      <c r="L34" s="9"/>
      <c r="M34" s="9" t="s">
        <v>246</v>
      </c>
      <c r="N34" s="8" t="s">
        <v>119</v>
      </c>
      <c r="O34" s="11" t="s">
        <v>247</v>
      </c>
      <c r="P34" s="8"/>
    </row>
    <row r="35" customFormat="false" ht="23.85" hidden="false" customHeight="false" outlineLevel="0" collapsed="false">
      <c r="A35" s="8" t="s">
        <v>241</v>
      </c>
      <c r="B35" s="9" t="s">
        <v>248</v>
      </c>
      <c r="C35" s="8" t="s">
        <v>249</v>
      </c>
      <c r="D35" s="8" t="s">
        <v>116</v>
      </c>
      <c r="E35" s="9"/>
      <c r="F35" s="8" t="s">
        <v>250</v>
      </c>
      <c r="G35" s="8"/>
      <c r="H35" s="8"/>
      <c r="I35" s="9"/>
      <c r="J35" s="8" t="s">
        <v>16</v>
      </c>
      <c r="K35" s="8" t="s">
        <v>123</v>
      </c>
      <c r="L35" s="9"/>
      <c r="M35" s="9" t="s">
        <v>251</v>
      </c>
      <c r="N35" s="8" t="s">
        <v>119</v>
      </c>
      <c r="O35" s="11" t="s">
        <v>252</v>
      </c>
      <c r="P35" s="8"/>
    </row>
    <row r="36" customFormat="false" ht="46.25" hidden="false" customHeight="false" outlineLevel="0" collapsed="false">
      <c r="A36" s="8" t="s">
        <v>241</v>
      </c>
      <c r="B36" s="9" t="s">
        <v>253</v>
      </c>
      <c r="C36" s="8" t="s">
        <v>254</v>
      </c>
      <c r="D36" s="8" t="s">
        <v>135</v>
      </c>
      <c r="E36" s="9" t="s">
        <v>255</v>
      </c>
      <c r="F36" s="8" t="s">
        <v>256</v>
      </c>
      <c r="G36" s="8"/>
      <c r="H36" s="8"/>
      <c r="I36" s="9"/>
      <c r="J36" s="8" t="s">
        <v>16</v>
      </c>
      <c r="K36" s="8" t="s">
        <v>123</v>
      </c>
      <c r="L36" s="9"/>
      <c r="M36" s="9" t="s">
        <v>257</v>
      </c>
      <c r="N36" s="8" t="s">
        <v>119</v>
      </c>
      <c r="O36" s="11" t="s">
        <v>258</v>
      </c>
      <c r="P36" s="8"/>
    </row>
    <row r="37" customFormat="false" ht="23.85" hidden="false" customHeight="false" outlineLevel="0" collapsed="false">
      <c r="A37" s="8" t="s">
        <v>241</v>
      </c>
      <c r="B37" s="9" t="s">
        <v>259</v>
      </c>
      <c r="C37" s="8" t="s">
        <v>260</v>
      </c>
      <c r="D37" s="8" t="s">
        <v>135</v>
      </c>
      <c r="E37" s="9" t="s">
        <v>261</v>
      </c>
      <c r="F37" s="8" t="s">
        <v>262</v>
      </c>
      <c r="G37" s="8"/>
      <c r="H37" s="8"/>
      <c r="I37" s="9"/>
      <c r="J37" s="8" t="s">
        <v>16</v>
      </c>
      <c r="K37" s="8" t="s">
        <v>123</v>
      </c>
      <c r="L37" s="9"/>
      <c r="M37" s="9" t="s">
        <v>263</v>
      </c>
      <c r="N37" s="8" t="s">
        <v>119</v>
      </c>
      <c r="O37" s="11" t="s">
        <v>264</v>
      </c>
      <c r="P37" s="8"/>
    </row>
    <row r="38" customFormat="false" ht="23.85" hidden="false" customHeight="false" outlineLevel="0" collapsed="false">
      <c r="A38" s="8" t="s">
        <v>241</v>
      </c>
      <c r="B38" s="9" t="s">
        <v>265</v>
      </c>
      <c r="C38" s="8" t="s">
        <v>266</v>
      </c>
      <c r="D38" s="8" t="s">
        <v>116</v>
      </c>
      <c r="E38" s="9"/>
      <c r="F38" s="8" t="s">
        <v>267</v>
      </c>
      <c r="G38" s="8"/>
      <c r="H38" s="8"/>
      <c r="I38" s="9"/>
      <c r="J38" s="8" t="s">
        <v>16</v>
      </c>
      <c r="K38" s="8" t="s">
        <v>268</v>
      </c>
      <c r="L38" s="9"/>
      <c r="M38" s="9" t="s">
        <v>269</v>
      </c>
      <c r="N38" s="8" t="s">
        <v>119</v>
      </c>
      <c r="O38" s="11" t="s">
        <v>270</v>
      </c>
      <c r="P38" s="8"/>
    </row>
    <row r="39" customFormat="false" ht="15" hidden="false" customHeight="false" outlineLevel="0" collapsed="false">
      <c r="A39" s="8" t="s">
        <v>241</v>
      </c>
      <c r="B39" s="9" t="s">
        <v>271</v>
      </c>
      <c r="C39" s="8" t="s">
        <v>272</v>
      </c>
      <c r="D39" s="8" t="s">
        <v>135</v>
      </c>
      <c r="E39" s="9" t="s">
        <v>273</v>
      </c>
      <c r="F39" s="8" t="s">
        <v>274</v>
      </c>
      <c r="G39" s="8"/>
      <c r="H39" s="8"/>
      <c r="I39" s="9"/>
      <c r="J39" s="8" t="s">
        <v>16</v>
      </c>
      <c r="K39" s="8" t="s">
        <v>268</v>
      </c>
      <c r="L39" s="9"/>
      <c r="M39" s="9" t="s">
        <v>275</v>
      </c>
      <c r="N39" s="8" t="s">
        <v>119</v>
      </c>
      <c r="O39" s="11" t="s">
        <v>276</v>
      </c>
      <c r="P39" s="8"/>
    </row>
    <row r="40" customFormat="false" ht="46.25" hidden="false" customHeight="false" outlineLevel="0" collapsed="false">
      <c r="A40" s="8" t="s">
        <v>241</v>
      </c>
      <c r="B40" s="9" t="s">
        <v>277</v>
      </c>
      <c r="C40" s="8" t="s">
        <v>278</v>
      </c>
      <c r="D40" s="8" t="s">
        <v>135</v>
      </c>
      <c r="E40" s="9" t="s">
        <v>279</v>
      </c>
      <c r="F40" s="8" t="s">
        <v>280</v>
      </c>
      <c r="G40" s="8"/>
      <c r="H40" s="8"/>
      <c r="I40" s="9"/>
      <c r="J40" s="8" t="s">
        <v>16</v>
      </c>
      <c r="K40" s="8" t="s">
        <v>268</v>
      </c>
      <c r="L40" s="9"/>
      <c r="M40" s="9" t="s">
        <v>281</v>
      </c>
      <c r="N40" s="8" t="s">
        <v>119</v>
      </c>
      <c r="O40" s="11" t="s">
        <v>282</v>
      </c>
      <c r="P40" s="8"/>
    </row>
    <row r="41" customFormat="false" ht="35.05" hidden="false" customHeight="false" outlineLevel="0" collapsed="false">
      <c r="A41" s="8" t="s">
        <v>241</v>
      </c>
      <c r="B41" s="9" t="s">
        <v>283</v>
      </c>
      <c r="C41" s="8" t="s">
        <v>284</v>
      </c>
      <c r="D41" s="8" t="s">
        <v>135</v>
      </c>
      <c r="E41" s="9" t="s">
        <v>285</v>
      </c>
      <c r="F41" s="8" t="s">
        <v>286</v>
      </c>
      <c r="G41" s="8"/>
      <c r="H41" s="8"/>
      <c r="I41" s="9"/>
      <c r="J41" s="8" t="s">
        <v>16</v>
      </c>
      <c r="K41" s="8" t="s">
        <v>268</v>
      </c>
      <c r="L41" s="9"/>
      <c r="M41" s="9" t="s">
        <v>287</v>
      </c>
      <c r="N41" s="8" t="s">
        <v>119</v>
      </c>
      <c r="O41" s="11" t="s">
        <v>288</v>
      </c>
      <c r="P41" s="8"/>
    </row>
    <row r="42" customFormat="false" ht="23.85" hidden="false" customHeight="false" outlineLevel="0" collapsed="false">
      <c r="A42" s="8" t="s">
        <v>241</v>
      </c>
      <c r="B42" s="9" t="s">
        <v>289</v>
      </c>
      <c r="C42" s="8" t="s">
        <v>290</v>
      </c>
      <c r="D42" s="8" t="s">
        <v>135</v>
      </c>
      <c r="E42" s="9" t="s">
        <v>291</v>
      </c>
      <c r="F42" s="8" t="s">
        <v>292</v>
      </c>
      <c r="G42" s="8"/>
      <c r="H42" s="8"/>
      <c r="I42" s="9"/>
      <c r="J42" s="8" t="s">
        <v>16</v>
      </c>
      <c r="K42" s="8" t="s">
        <v>268</v>
      </c>
      <c r="L42" s="9" t="s">
        <v>293</v>
      </c>
      <c r="M42" s="9" t="s">
        <v>294</v>
      </c>
      <c r="N42" s="8" t="s">
        <v>119</v>
      </c>
      <c r="O42" s="11" t="s">
        <v>295</v>
      </c>
      <c r="P42" s="8"/>
    </row>
    <row r="43" customFormat="false" ht="23.85" hidden="false" customHeight="false" outlineLevel="0" collapsed="false">
      <c r="A43" s="8" t="s">
        <v>241</v>
      </c>
      <c r="B43" s="9" t="s">
        <v>296</v>
      </c>
      <c r="C43" s="8" t="s">
        <v>297</v>
      </c>
      <c r="D43" s="8" t="s">
        <v>135</v>
      </c>
      <c r="E43" s="9" t="s">
        <v>291</v>
      </c>
      <c r="F43" s="8" t="s">
        <v>298</v>
      </c>
      <c r="G43" s="8"/>
      <c r="H43" s="8"/>
      <c r="I43" s="9"/>
      <c r="J43" s="8" t="s">
        <v>16</v>
      </c>
      <c r="K43" s="8" t="s">
        <v>268</v>
      </c>
      <c r="L43" s="9" t="s">
        <v>293</v>
      </c>
      <c r="M43" s="9" t="s">
        <v>299</v>
      </c>
      <c r="N43" s="8" t="s">
        <v>119</v>
      </c>
      <c r="O43" s="11" t="s">
        <v>300</v>
      </c>
      <c r="P43" s="8"/>
    </row>
    <row r="44" customFormat="false" ht="23.85" hidden="false" customHeight="false" outlineLevel="0" collapsed="false">
      <c r="A44" s="8" t="s">
        <v>241</v>
      </c>
      <c r="B44" s="9" t="s">
        <v>301</v>
      </c>
      <c r="C44" s="8" t="s">
        <v>302</v>
      </c>
      <c r="D44" s="8" t="s">
        <v>135</v>
      </c>
      <c r="E44" s="9" t="s">
        <v>291</v>
      </c>
      <c r="F44" s="8" t="s">
        <v>303</v>
      </c>
      <c r="G44" s="8"/>
      <c r="H44" s="8"/>
      <c r="I44" s="9"/>
      <c r="J44" s="8" t="s">
        <v>16</v>
      </c>
      <c r="K44" s="8" t="s">
        <v>268</v>
      </c>
      <c r="L44" s="9" t="s">
        <v>293</v>
      </c>
      <c r="M44" s="9" t="s">
        <v>304</v>
      </c>
      <c r="N44" s="8" t="s">
        <v>119</v>
      </c>
      <c r="O44" s="11" t="s">
        <v>305</v>
      </c>
      <c r="P44" s="8"/>
    </row>
    <row r="45" customFormat="false" ht="23.85" hidden="false" customHeight="false" outlineLevel="0" collapsed="false">
      <c r="A45" s="8" t="s">
        <v>241</v>
      </c>
      <c r="B45" s="9" t="s">
        <v>306</v>
      </c>
      <c r="C45" s="8" t="s">
        <v>307</v>
      </c>
      <c r="D45" s="8" t="s">
        <v>308</v>
      </c>
      <c r="E45" s="9"/>
      <c r="F45" s="8" t="s">
        <v>309</v>
      </c>
      <c r="G45" s="8"/>
      <c r="H45" s="8"/>
      <c r="I45" s="9"/>
      <c r="J45" s="8" t="s">
        <v>16</v>
      </c>
      <c r="K45" s="8" t="s">
        <v>123</v>
      </c>
      <c r="L45" s="9"/>
      <c r="M45" s="9" t="s">
        <v>310</v>
      </c>
      <c r="N45" s="8" t="s">
        <v>119</v>
      </c>
      <c r="O45" s="11" t="s">
        <v>311</v>
      </c>
      <c r="P45" s="8"/>
    </row>
    <row r="46" customFormat="false" ht="15" hidden="false" customHeight="false" outlineLevel="0" collapsed="false">
      <c r="A46" s="8" t="s">
        <v>241</v>
      </c>
      <c r="B46" s="9" t="s">
        <v>312</v>
      </c>
      <c r="C46" s="8" t="s">
        <v>313</v>
      </c>
      <c r="D46" s="8" t="s">
        <v>308</v>
      </c>
      <c r="E46" s="9"/>
      <c r="F46" s="8" t="s">
        <v>314</v>
      </c>
      <c r="G46" s="8"/>
      <c r="H46" s="8"/>
      <c r="I46" s="9"/>
      <c r="J46" s="8" t="s">
        <v>16</v>
      </c>
      <c r="K46" s="8" t="s">
        <v>123</v>
      </c>
      <c r="L46" s="9"/>
      <c r="M46" s="9" t="s">
        <v>315</v>
      </c>
      <c r="N46" s="8" t="s">
        <v>119</v>
      </c>
      <c r="O46" s="11" t="s">
        <v>316</v>
      </c>
      <c r="P46" s="8"/>
    </row>
    <row r="47" customFormat="false" ht="15" hidden="false" customHeight="false" outlineLevel="0" collapsed="false">
      <c r="A47" s="8" t="s">
        <v>241</v>
      </c>
      <c r="B47" s="9" t="s">
        <v>317</v>
      </c>
      <c r="C47" s="8" t="s">
        <v>318</v>
      </c>
      <c r="D47" s="8" t="s">
        <v>308</v>
      </c>
      <c r="E47" s="9"/>
      <c r="F47" s="8" t="s">
        <v>319</v>
      </c>
      <c r="G47" s="8"/>
      <c r="H47" s="8"/>
      <c r="I47" s="9"/>
      <c r="J47" s="8" t="s">
        <v>16</v>
      </c>
      <c r="K47" s="8" t="s">
        <v>123</v>
      </c>
      <c r="L47" s="9"/>
      <c r="M47" s="9" t="s">
        <v>320</v>
      </c>
      <c r="N47" s="8" t="s">
        <v>119</v>
      </c>
      <c r="O47" s="11" t="s">
        <v>321</v>
      </c>
      <c r="P47" s="8"/>
    </row>
    <row r="48" customFormat="false" ht="15" hidden="false" customHeight="false" outlineLevel="0" collapsed="false">
      <c r="A48" s="8" t="s">
        <v>241</v>
      </c>
      <c r="B48" s="9" t="s">
        <v>322</v>
      </c>
      <c r="C48" s="8" t="s">
        <v>323</v>
      </c>
      <c r="D48" s="8" t="s">
        <v>308</v>
      </c>
      <c r="E48" s="9"/>
      <c r="F48" s="8" t="s">
        <v>324</v>
      </c>
      <c r="G48" s="8"/>
      <c r="H48" s="8"/>
      <c r="I48" s="9"/>
      <c r="J48" s="8" t="s">
        <v>16</v>
      </c>
      <c r="K48" s="8" t="s">
        <v>123</v>
      </c>
      <c r="L48" s="9"/>
      <c r="M48" s="9" t="s">
        <v>325</v>
      </c>
      <c r="N48" s="8" t="s">
        <v>119</v>
      </c>
      <c r="O48" s="11" t="s">
        <v>326</v>
      </c>
      <c r="P48" s="8"/>
    </row>
    <row r="49" customFormat="false" ht="23.85" hidden="false" customHeight="false" outlineLevel="0" collapsed="false">
      <c r="A49" s="8" t="s">
        <v>241</v>
      </c>
      <c r="B49" s="9" t="s">
        <v>327</v>
      </c>
      <c r="C49" s="8" t="s">
        <v>328</v>
      </c>
      <c r="D49" s="8" t="s">
        <v>308</v>
      </c>
      <c r="E49" s="9"/>
      <c r="F49" s="8" t="s">
        <v>329</v>
      </c>
      <c r="G49" s="8"/>
      <c r="H49" s="8"/>
      <c r="I49" s="9"/>
      <c r="J49" s="8" t="s">
        <v>16</v>
      </c>
      <c r="K49" s="8" t="s">
        <v>123</v>
      </c>
      <c r="L49" s="9"/>
      <c r="M49" s="9" t="s">
        <v>330</v>
      </c>
      <c r="N49" s="8" t="s">
        <v>119</v>
      </c>
      <c r="O49" s="11" t="s">
        <v>331</v>
      </c>
      <c r="P49" s="8"/>
    </row>
    <row r="50" customFormat="false" ht="23.85" hidden="false" customHeight="false" outlineLevel="0" collapsed="false">
      <c r="A50" s="8" t="s">
        <v>241</v>
      </c>
      <c r="B50" s="9" t="s">
        <v>332</v>
      </c>
      <c r="C50" s="8" t="s">
        <v>333</v>
      </c>
      <c r="D50" s="8" t="s">
        <v>116</v>
      </c>
      <c r="E50" s="9"/>
      <c r="F50" s="8" t="s">
        <v>334</v>
      </c>
      <c r="G50" s="8"/>
      <c r="H50" s="8"/>
      <c r="I50" s="9"/>
      <c r="J50" s="8" t="s">
        <v>16</v>
      </c>
      <c r="K50" s="8" t="s">
        <v>123</v>
      </c>
      <c r="L50" s="9"/>
      <c r="M50" s="9" t="s">
        <v>335</v>
      </c>
      <c r="N50" s="8" t="s">
        <v>119</v>
      </c>
      <c r="O50" s="11" t="s">
        <v>336</v>
      </c>
      <c r="P50" s="8"/>
    </row>
    <row r="51" customFormat="false" ht="23.85" hidden="false" customHeight="false" outlineLevel="0" collapsed="false">
      <c r="A51" s="8" t="s">
        <v>241</v>
      </c>
      <c r="B51" s="9" t="s">
        <v>337</v>
      </c>
      <c r="C51" s="8" t="s">
        <v>338</v>
      </c>
      <c r="D51" s="8" t="s">
        <v>135</v>
      </c>
      <c r="E51" s="9" t="s">
        <v>339</v>
      </c>
      <c r="F51" s="8" t="s">
        <v>340</v>
      </c>
      <c r="G51" s="8"/>
      <c r="H51" s="8"/>
      <c r="I51" s="9"/>
      <c r="J51" s="8" t="s">
        <v>16</v>
      </c>
      <c r="K51" s="8" t="s">
        <v>245</v>
      </c>
      <c r="L51" s="9"/>
      <c r="M51" s="9" t="s">
        <v>341</v>
      </c>
      <c r="N51" s="8" t="s">
        <v>119</v>
      </c>
      <c r="O51" s="11" t="s">
        <v>342</v>
      </c>
      <c r="P51" s="8"/>
    </row>
    <row r="52" customFormat="false" ht="23.85" hidden="false" customHeight="false" outlineLevel="0" collapsed="false">
      <c r="A52" s="8" t="s">
        <v>343</v>
      </c>
      <c r="B52" s="9" t="s">
        <v>344</v>
      </c>
      <c r="C52" s="8" t="s">
        <v>345</v>
      </c>
      <c r="D52" s="8" t="s">
        <v>128</v>
      </c>
      <c r="E52" s="9" t="s">
        <v>346</v>
      </c>
      <c r="F52" s="8"/>
      <c r="G52" s="8"/>
      <c r="H52" s="8"/>
      <c r="I52" s="9"/>
      <c r="J52" s="8" t="s">
        <v>117</v>
      </c>
      <c r="K52" s="8"/>
      <c r="L52" s="9"/>
      <c r="M52" s="9"/>
      <c r="N52" s="8" t="s">
        <v>119</v>
      </c>
      <c r="O52" s="9"/>
      <c r="P52" s="8"/>
    </row>
    <row r="53" customFormat="false" ht="23.85" hidden="false" customHeight="false" outlineLevel="0" collapsed="false">
      <c r="A53" s="8" t="s">
        <v>343</v>
      </c>
      <c r="B53" s="9" t="s">
        <v>347</v>
      </c>
      <c r="C53" s="8" t="s">
        <v>348</v>
      </c>
      <c r="D53" s="8" t="s">
        <v>128</v>
      </c>
      <c r="E53" s="9" t="s">
        <v>349</v>
      </c>
      <c r="F53" s="8"/>
      <c r="G53" s="8"/>
      <c r="H53" s="8"/>
      <c r="I53" s="9"/>
      <c r="J53" s="8" t="s">
        <v>117</v>
      </c>
      <c r="K53" s="8"/>
      <c r="L53" s="9"/>
      <c r="M53" s="9"/>
      <c r="N53" s="8" t="s">
        <v>119</v>
      </c>
      <c r="O53" s="9"/>
      <c r="P53" s="8"/>
    </row>
    <row r="54" customFormat="false" ht="23.85" hidden="false" customHeight="false" outlineLevel="0" collapsed="false">
      <c r="A54" s="8" t="s">
        <v>343</v>
      </c>
      <c r="B54" s="9" t="s">
        <v>350</v>
      </c>
      <c r="C54" s="8" t="s">
        <v>351</v>
      </c>
      <c r="D54" s="8" t="s">
        <v>128</v>
      </c>
      <c r="E54" s="9" t="s">
        <v>352</v>
      </c>
      <c r="F54" s="8"/>
      <c r="G54" s="8"/>
      <c r="H54" s="8"/>
      <c r="I54" s="9"/>
      <c r="J54" s="8" t="s">
        <v>117</v>
      </c>
      <c r="K54" s="8"/>
      <c r="L54" s="9"/>
      <c r="M54" s="9"/>
      <c r="N54" s="8" t="s">
        <v>119</v>
      </c>
      <c r="O54" s="9"/>
      <c r="P54" s="8"/>
    </row>
    <row r="55" customFormat="false" ht="23.85" hidden="false" customHeight="false" outlineLevel="0" collapsed="false">
      <c r="A55" s="8" t="s">
        <v>343</v>
      </c>
      <c r="B55" s="9" t="s">
        <v>353</v>
      </c>
      <c r="C55" s="8" t="s">
        <v>354</v>
      </c>
      <c r="D55" s="8" t="s">
        <v>128</v>
      </c>
      <c r="E55" s="9" t="s">
        <v>355</v>
      </c>
      <c r="F55" s="8"/>
      <c r="G55" s="8"/>
      <c r="H55" s="8"/>
      <c r="I55" s="9"/>
      <c r="J55" s="8" t="s">
        <v>117</v>
      </c>
      <c r="K55" s="8"/>
      <c r="L55" s="9"/>
      <c r="M55" s="9"/>
      <c r="N55" s="8" t="s">
        <v>119</v>
      </c>
      <c r="O55" s="9"/>
      <c r="P55" s="8"/>
    </row>
    <row r="56" customFormat="false" ht="15" hidden="false" customHeight="false" outlineLevel="0" collapsed="false">
      <c r="A56" s="8" t="s">
        <v>343</v>
      </c>
      <c r="B56" s="9" t="s">
        <v>356</v>
      </c>
      <c r="C56" s="8" t="s">
        <v>357</v>
      </c>
      <c r="D56" s="8" t="s">
        <v>128</v>
      </c>
      <c r="E56" s="9" t="s">
        <v>358</v>
      </c>
      <c r="F56" s="8"/>
      <c r="G56" s="8"/>
      <c r="H56" s="8"/>
      <c r="I56" s="9"/>
      <c r="J56" s="8" t="s">
        <v>117</v>
      </c>
      <c r="K56" s="8"/>
      <c r="L56" s="9"/>
      <c r="M56" s="9"/>
      <c r="N56" s="8" t="s">
        <v>119</v>
      </c>
      <c r="O56" s="9"/>
      <c r="P56" s="8"/>
    </row>
    <row r="57" customFormat="false" ht="15" hidden="false" customHeight="false" outlineLevel="0" collapsed="false">
      <c r="A57" s="8" t="s">
        <v>343</v>
      </c>
      <c r="B57" s="9" t="s">
        <v>359</v>
      </c>
      <c r="C57" s="8" t="s">
        <v>360</v>
      </c>
      <c r="D57" s="8" t="s">
        <v>128</v>
      </c>
      <c r="E57" s="9" t="s">
        <v>358</v>
      </c>
      <c r="F57" s="8"/>
      <c r="G57" s="8"/>
      <c r="H57" s="8"/>
      <c r="I57" s="9"/>
      <c r="J57" s="8" t="s">
        <v>117</v>
      </c>
      <c r="K57" s="8"/>
      <c r="L57" s="9"/>
      <c r="M57" s="9"/>
      <c r="N57" s="8" t="s">
        <v>119</v>
      </c>
      <c r="O57" s="9"/>
      <c r="P57" s="8"/>
    </row>
    <row r="58" customFormat="false" ht="23.85" hidden="false" customHeight="false" outlineLevel="0" collapsed="false">
      <c r="A58" s="8" t="s">
        <v>343</v>
      </c>
      <c r="B58" s="9" t="s">
        <v>361</v>
      </c>
      <c r="C58" s="8" t="s">
        <v>362</v>
      </c>
      <c r="D58" s="8" t="s">
        <v>363</v>
      </c>
      <c r="E58" s="9" t="s">
        <v>364</v>
      </c>
      <c r="F58" s="8"/>
      <c r="G58" s="8"/>
      <c r="H58" s="8"/>
      <c r="I58" s="9"/>
      <c r="J58" s="8" t="s">
        <v>117</v>
      </c>
      <c r="K58" s="8"/>
      <c r="L58" s="9"/>
      <c r="M58" s="9"/>
      <c r="N58" s="8" t="s">
        <v>119</v>
      </c>
      <c r="O58" s="9"/>
      <c r="P58" s="8"/>
    </row>
    <row r="59" customFormat="false" ht="35.05" hidden="false" customHeight="false" outlineLevel="0" collapsed="false">
      <c r="A59" s="8" t="s">
        <v>365</v>
      </c>
      <c r="B59" s="9" t="s">
        <v>366</v>
      </c>
      <c r="C59" s="8" t="s">
        <v>367</v>
      </c>
      <c r="D59" s="8" t="s">
        <v>308</v>
      </c>
      <c r="E59" s="9"/>
      <c r="F59" s="8"/>
      <c r="G59" s="8"/>
      <c r="H59" s="8"/>
      <c r="I59" s="9"/>
      <c r="J59" s="8" t="s">
        <v>117</v>
      </c>
      <c r="K59" s="8"/>
      <c r="L59" s="9"/>
      <c r="M59" s="9"/>
      <c r="N59" s="8" t="s">
        <v>119</v>
      </c>
      <c r="O59" s="9"/>
      <c r="P59" s="8"/>
    </row>
    <row r="60" customFormat="false" ht="46.25" hidden="false" customHeight="false" outlineLevel="0" collapsed="false">
      <c r="A60" s="8" t="s">
        <v>365</v>
      </c>
      <c r="B60" s="9" t="s">
        <v>368</v>
      </c>
      <c r="C60" s="8" t="s">
        <v>369</v>
      </c>
      <c r="D60" s="8" t="s">
        <v>140</v>
      </c>
      <c r="E60" s="9" t="s">
        <v>370</v>
      </c>
      <c r="F60" s="8"/>
      <c r="G60" s="8"/>
      <c r="H60" s="8"/>
      <c r="I60" s="9"/>
      <c r="J60" s="8" t="s">
        <v>117</v>
      </c>
      <c r="K60" s="8"/>
      <c r="L60" s="9" t="s">
        <v>371</v>
      </c>
      <c r="M60" s="9"/>
      <c r="N60" s="8" t="s">
        <v>119</v>
      </c>
      <c r="O60" s="9"/>
      <c r="P60" s="8"/>
    </row>
    <row r="61" customFormat="false" ht="15" hidden="false" customHeight="false" outlineLevel="0" collapsed="false">
      <c r="A61" s="8" t="s">
        <v>365</v>
      </c>
      <c r="B61" s="9" t="s">
        <v>372</v>
      </c>
      <c r="C61" s="8" t="s">
        <v>373</v>
      </c>
      <c r="D61" s="8" t="s">
        <v>116</v>
      </c>
      <c r="E61" s="9"/>
      <c r="F61" s="8"/>
      <c r="G61" s="8"/>
      <c r="H61" s="8"/>
      <c r="I61" s="9"/>
      <c r="J61" s="8" t="s">
        <v>117</v>
      </c>
      <c r="K61" s="8"/>
      <c r="L61" s="9" t="s">
        <v>371</v>
      </c>
      <c r="M61" s="9" t="s">
        <v>374</v>
      </c>
      <c r="N61" s="8" t="s">
        <v>119</v>
      </c>
      <c r="O61" s="9"/>
      <c r="P61" s="8"/>
    </row>
    <row r="62" customFormat="false" ht="15" hidden="false" customHeight="false" outlineLevel="0" collapsed="false">
      <c r="A62" s="8" t="s">
        <v>365</v>
      </c>
      <c r="B62" s="9" t="s">
        <v>375</v>
      </c>
      <c r="C62" s="8" t="s">
        <v>376</v>
      </c>
      <c r="D62" s="8" t="s">
        <v>116</v>
      </c>
      <c r="E62" s="9"/>
      <c r="F62" s="8"/>
      <c r="G62" s="8"/>
      <c r="H62" s="8"/>
      <c r="I62" s="9"/>
      <c r="J62" s="8" t="s">
        <v>117</v>
      </c>
      <c r="K62" s="8"/>
      <c r="L62" s="9" t="s">
        <v>371</v>
      </c>
      <c r="M62" s="9" t="s">
        <v>377</v>
      </c>
      <c r="N62" s="8" t="s">
        <v>119</v>
      </c>
      <c r="O62" s="9"/>
      <c r="P62" s="8"/>
    </row>
    <row r="63" customFormat="false" ht="23.85" hidden="false" customHeight="false" outlineLevel="0" collapsed="false">
      <c r="A63" s="8" t="s">
        <v>365</v>
      </c>
      <c r="B63" s="9" t="s">
        <v>378</v>
      </c>
      <c r="C63" s="8" t="s">
        <v>379</v>
      </c>
      <c r="D63" s="8" t="s">
        <v>135</v>
      </c>
      <c r="E63" s="9" t="s">
        <v>380</v>
      </c>
      <c r="F63" s="8"/>
      <c r="G63" s="8"/>
      <c r="H63" s="8"/>
      <c r="I63" s="9"/>
      <c r="J63" s="8" t="s">
        <v>117</v>
      </c>
      <c r="K63" s="8"/>
      <c r="L63" s="9" t="s">
        <v>371</v>
      </c>
      <c r="M63" s="9"/>
      <c r="N63" s="8" t="s">
        <v>119</v>
      </c>
      <c r="O63" s="9"/>
      <c r="P63" s="8"/>
    </row>
    <row r="64" customFormat="false" ht="35.05" hidden="false" customHeight="false" outlineLevel="0" collapsed="false">
      <c r="A64" s="8" t="s">
        <v>365</v>
      </c>
      <c r="B64" s="9" t="s">
        <v>381</v>
      </c>
      <c r="C64" s="8" t="s">
        <v>382</v>
      </c>
      <c r="D64" s="8" t="s">
        <v>140</v>
      </c>
      <c r="E64" s="9" t="s">
        <v>383</v>
      </c>
      <c r="F64" s="8"/>
      <c r="G64" s="8"/>
      <c r="H64" s="8"/>
      <c r="I64" s="9"/>
      <c r="J64" s="8" t="s">
        <v>117</v>
      </c>
      <c r="K64" s="8"/>
      <c r="L64" s="9" t="s">
        <v>371</v>
      </c>
      <c r="M64" s="9"/>
      <c r="N64" s="8" t="s">
        <v>119</v>
      </c>
      <c r="O64" s="9"/>
      <c r="P64" s="8"/>
    </row>
    <row r="65" customFormat="false" ht="23.85" hidden="false" customHeight="false" outlineLevel="0" collapsed="false">
      <c r="A65" s="8" t="s">
        <v>365</v>
      </c>
      <c r="B65" s="9" t="s">
        <v>384</v>
      </c>
      <c r="C65" s="8" t="s">
        <v>385</v>
      </c>
      <c r="D65" s="8" t="s">
        <v>308</v>
      </c>
      <c r="E65" s="9"/>
      <c r="F65" s="8"/>
      <c r="G65" s="8"/>
      <c r="H65" s="8"/>
      <c r="I65" s="9"/>
      <c r="J65" s="8" t="s">
        <v>117</v>
      </c>
      <c r="K65" s="8"/>
      <c r="L65" s="9" t="s">
        <v>371</v>
      </c>
      <c r="M65" s="9" t="s">
        <v>386</v>
      </c>
      <c r="N65" s="8" t="s">
        <v>119</v>
      </c>
      <c r="O65" s="9"/>
      <c r="P65" s="8"/>
    </row>
    <row r="66" customFormat="false" ht="35.05" hidden="false" customHeight="false" outlineLevel="0" collapsed="false">
      <c r="A66" s="8" t="s">
        <v>365</v>
      </c>
      <c r="B66" s="9" t="s">
        <v>387</v>
      </c>
      <c r="C66" s="8" t="s">
        <v>388</v>
      </c>
      <c r="D66" s="8" t="s">
        <v>140</v>
      </c>
      <c r="E66" s="9" t="s">
        <v>389</v>
      </c>
      <c r="F66" s="8"/>
      <c r="G66" s="8"/>
      <c r="H66" s="8"/>
      <c r="I66" s="9"/>
      <c r="J66" s="8" t="s">
        <v>117</v>
      </c>
      <c r="K66" s="8"/>
      <c r="L66" s="9"/>
      <c r="M66" s="9"/>
      <c r="N66" s="8" t="s">
        <v>119</v>
      </c>
      <c r="O66" s="9"/>
      <c r="P66" s="8"/>
    </row>
    <row r="67" customFormat="false" ht="23.85" hidden="false" customHeight="false" outlineLevel="0" collapsed="false">
      <c r="A67" s="8" t="s">
        <v>365</v>
      </c>
      <c r="B67" s="9" t="s">
        <v>390</v>
      </c>
      <c r="C67" s="8" t="s">
        <v>391</v>
      </c>
      <c r="D67" s="8" t="s">
        <v>140</v>
      </c>
      <c r="E67" s="9" t="s">
        <v>392</v>
      </c>
      <c r="F67" s="8"/>
      <c r="G67" s="8"/>
      <c r="H67" s="8"/>
      <c r="I67" s="9"/>
      <c r="J67" s="8" t="s">
        <v>117</v>
      </c>
      <c r="K67" s="8"/>
      <c r="L67" s="9"/>
      <c r="M67" s="9"/>
      <c r="N67" s="8" t="s">
        <v>119</v>
      </c>
      <c r="O67" s="9"/>
      <c r="P67" s="8"/>
    </row>
    <row r="68" customFormat="false" ht="35.05" hidden="false" customHeight="false" outlineLevel="0" collapsed="false">
      <c r="A68" s="8" t="s">
        <v>365</v>
      </c>
      <c r="B68" s="9" t="s">
        <v>393</v>
      </c>
      <c r="C68" s="8" t="s">
        <v>394</v>
      </c>
      <c r="D68" s="8" t="s">
        <v>140</v>
      </c>
      <c r="E68" s="9" t="s">
        <v>395</v>
      </c>
      <c r="F68" s="8"/>
      <c r="G68" s="8"/>
      <c r="H68" s="8"/>
      <c r="I68" s="9"/>
      <c r="J68" s="8" t="s">
        <v>117</v>
      </c>
      <c r="K68" s="8"/>
      <c r="L68" s="9"/>
      <c r="M68" s="9"/>
      <c r="N68" s="8" t="s">
        <v>119</v>
      </c>
      <c r="O68" s="9"/>
      <c r="P68" s="8"/>
    </row>
    <row r="69" customFormat="false" ht="23.85" hidden="false" customHeight="false" outlineLevel="0" collapsed="false">
      <c r="A69" s="8" t="s">
        <v>365</v>
      </c>
      <c r="B69" s="9" t="s">
        <v>396</v>
      </c>
      <c r="C69" s="8" t="s">
        <v>397</v>
      </c>
      <c r="D69" s="8" t="s">
        <v>398</v>
      </c>
      <c r="E69" s="9"/>
      <c r="F69" s="8"/>
      <c r="G69" s="8"/>
      <c r="H69" s="8"/>
      <c r="I69" s="9"/>
      <c r="J69" s="8" t="s">
        <v>117</v>
      </c>
      <c r="K69" s="8"/>
      <c r="L69" s="9"/>
      <c r="M69" s="9"/>
      <c r="N69" s="8" t="s">
        <v>119</v>
      </c>
      <c r="O69" s="9"/>
      <c r="P69" s="8"/>
    </row>
    <row r="70" customFormat="false" ht="35.05" hidden="false" customHeight="false" outlineLevel="0" collapsed="false">
      <c r="A70" s="8" t="s">
        <v>399</v>
      </c>
      <c r="B70" s="9" t="s">
        <v>400</v>
      </c>
      <c r="C70" s="8" t="s">
        <v>401</v>
      </c>
      <c r="D70" s="8" t="s">
        <v>398</v>
      </c>
      <c r="E70" s="9"/>
      <c r="F70" s="8"/>
      <c r="G70" s="8"/>
      <c r="H70" s="8"/>
      <c r="I70" s="9"/>
      <c r="J70" s="8" t="s">
        <v>117</v>
      </c>
      <c r="K70" s="8"/>
      <c r="L70" s="9"/>
      <c r="M70" s="9" t="s">
        <v>402</v>
      </c>
      <c r="N70" s="8" t="s">
        <v>119</v>
      </c>
      <c r="O70" s="9"/>
      <c r="P70" s="8"/>
    </row>
    <row r="71" customFormat="false" ht="23.85" hidden="false" customHeight="false" outlineLevel="0" collapsed="false">
      <c r="A71" s="8" t="s">
        <v>399</v>
      </c>
      <c r="B71" s="9" t="s">
        <v>403</v>
      </c>
      <c r="C71" s="8" t="s">
        <v>404</v>
      </c>
      <c r="D71" s="8" t="s">
        <v>398</v>
      </c>
      <c r="E71" s="9"/>
      <c r="F71" s="8"/>
      <c r="G71" s="8"/>
      <c r="H71" s="8"/>
      <c r="I71" s="9"/>
      <c r="J71" s="8" t="s">
        <v>117</v>
      </c>
      <c r="K71" s="8"/>
      <c r="L71" s="9"/>
      <c r="M71" s="9" t="s">
        <v>405</v>
      </c>
      <c r="N71" s="8" t="s">
        <v>119</v>
      </c>
      <c r="O71" s="9"/>
      <c r="P71" s="8"/>
    </row>
    <row r="72" customFormat="false" ht="23.85" hidden="false" customHeight="false" outlineLevel="0" collapsed="false">
      <c r="A72" s="8" t="s">
        <v>399</v>
      </c>
      <c r="B72" s="9" t="s">
        <v>406</v>
      </c>
      <c r="C72" s="8" t="s">
        <v>407</v>
      </c>
      <c r="D72" s="8" t="s">
        <v>398</v>
      </c>
      <c r="E72" s="9"/>
      <c r="F72" s="8"/>
      <c r="G72" s="8"/>
      <c r="H72" s="8"/>
      <c r="I72" s="9"/>
      <c r="J72" s="8" t="s">
        <v>117</v>
      </c>
      <c r="K72" s="8"/>
      <c r="L72" s="9"/>
      <c r="M72" s="9" t="s">
        <v>408</v>
      </c>
      <c r="N72" s="8" t="s">
        <v>119</v>
      </c>
      <c r="O72" s="9"/>
      <c r="P72" s="8"/>
    </row>
    <row r="73" customFormat="false" ht="23.85" hidden="false" customHeight="false" outlineLevel="0" collapsed="false">
      <c r="A73" s="8" t="s">
        <v>399</v>
      </c>
      <c r="B73" s="9" t="s">
        <v>409</v>
      </c>
      <c r="C73" s="8" t="s">
        <v>410</v>
      </c>
      <c r="D73" s="8" t="s">
        <v>398</v>
      </c>
      <c r="E73" s="9"/>
      <c r="F73" s="8"/>
      <c r="G73" s="8"/>
      <c r="H73" s="8"/>
      <c r="I73" s="9"/>
      <c r="J73" s="8" t="s">
        <v>117</v>
      </c>
      <c r="K73" s="8"/>
      <c r="L73" s="9"/>
      <c r="M73" s="9" t="s">
        <v>411</v>
      </c>
      <c r="N73" s="8" t="s">
        <v>119</v>
      </c>
      <c r="O73" s="9"/>
      <c r="P73" s="8"/>
    </row>
    <row r="74" customFormat="false" ht="15" hidden="false" customHeight="false" outlineLevel="0" collapsed="false">
      <c r="A74" s="8" t="s">
        <v>399</v>
      </c>
      <c r="B74" s="9" t="s">
        <v>412</v>
      </c>
      <c r="C74" s="8" t="s">
        <v>413</v>
      </c>
      <c r="D74" s="8" t="s">
        <v>116</v>
      </c>
      <c r="E74" s="9"/>
      <c r="F74" s="8"/>
      <c r="G74" s="8"/>
      <c r="H74" s="8"/>
      <c r="I74" s="9"/>
      <c r="J74" s="8" t="s">
        <v>117</v>
      </c>
      <c r="K74" s="8"/>
      <c r="L74" s="9"/>
      <c r="M74" s="9" t="s">
        <v>414</v>
      </c>
      <c r="N74" s="8" t="s">
        <v>119</v>
      </c>
      <c r="O74" s="9"/>
      <c r="P74" s="8"/>
    </row>
    <row r="75" customFormat="false" ht="35.05" hidden="false" customHeight="false" outlineLevel="0" collapsed="false">
      <c r="A75" s="8" t="s">
        <v>415</v>
      </c>
      <c r="B75" s="9" t="s">
        <v>416</v>
      </c>
      <c r="C75" s="8" t="s">
        <v>417</v>
      </c>
      <c r="D75" s="8" t="s">
        <v>398</v>
      </c>
      <c r="E75" s="9"/>
      <c r="F75" s="8"/>
      <c r="G75" s="8"/>
      <c r="H75" s="8"/>
      <c r="I75" s="9"/>
      <c r="J75" s="8" t="s">
        <v>117</v>
      </c>
      <c r="K75" s="8"/>
      <c r="L75" s="9"/>
      <c r="M75" s="9" t="s">
        <v>418</v>
      </c>
      <c r="N75" s="8" t="s">
        <v>119</v>
      </c>
      <c r="O75" s="9"/>
      <c r="P75" s="8"/>
    </row>
    <row r="76" customFormat="false" ht="23.85" hidden="false" customHeight="false" outlineLevel="0" collapsed="false">
      <c r="A76" s="8" t="s">
        <v>415</v>
      </c>
      <c r="B76" s="9" t="s">
        <v>419</v>
      </c>
      <c r="C76" s="8" t="s">
        <v>420</v>
      </c>
      <c r="D76" s="8" t="s">
        <v>398</v>
      </c>
      <c r="E76" s="9"/>
      <c r="F76" s="8"/>
      <c r="G76" s="8"/>
      <c r="H76" s="8"/>
      <c r="I76" s="9"/>
      <c r="J76" s="8" t="s">
        <v>117</v>
      </c>
      <c r="K76" s="8"/>
      <c r="L76" s="9"/>
      <c r="M76" s="9" t="s">
        <v>421</v>
      </c>
      <c r="N76" s="8" t="s">
        <v>119</v>
      </c>
      <c r="O76" s="9"/>
      <c r="P76" s="8"/>
    </row>
    <row r="77" customFormat="false" ht="23.85" hidden="false" customHeight="false" outlineLevel="0" collapsed="false">
      <c r="A77" s="8" t="s">
        <v>415</v>
      </c>
      <c r="B77" s="9" t="s">
        <v>422</v>
      </c>
      <c r="C77" s="8" t="s">
        <v>423</v>
      </c>
      <c r="D77" s="8" t="s">
        <v>116</v>
      </c>
      <c r="E77" s="9"/>
      <c r="F77" s="8"/>
      <c r="G77" s="8"/>
      <c r="H77" s="8"/>
      <c r="I77" s="9"/>
      <c r="J77" s="8" t="s">
        <v>117</v>
      </c>
      <c r="K77" s="8"/>
      <c r="L77" s="9"/>
      <c r="M77" s="9" t="s">
        <v>424</v>
      </c>
      <c r="N77" s="8" t="s">
        <v>119</v>
      </c>
      <c r="O77" s="9"/>
      <c r="P77" s="8"/>
    </row>
    <row r="78" customFormat="false" ht="23.85" hidden="false" customHeight="false" outlineLevel="0" collapsed="false">
      <c r="A78" s="8" t="s">
        <v>415</v>
      </c>
      <c r="B78" s="9" t="s">
        <v>425</v>
      </c>
      <c r="C78" s="8" t="s">
        <v>426</v>
      </c>
      <c r="D78" s="8" t="s">
        <v>116</v>
      </c>
      <c r="E78" s="9"/>
      <c r="F78" s="8"/>
      <c r="G78" s="8"/>
      <c r="H78" s="8"/>
      <c r="I78" s="9"/>
      <c r="J78" s="8" t="s">
        <v>117</v>
      </c>
      <c r="K78" s="8"/>
      <c r="L78" s="9"/>
      <c r="M78" s="9" t="s">
        <v>424</v>
      </c>
      <c r="N78" s="8" t="s">
        <v>119</v>
      </c>
      <c r="O78" s="9"/>
      <c r="P78" s="8"/>
    </row>
    <row r="79" customFormat="false" ht="15" hidden="false" customHeight="false" outlineLevel="0" collapsed="false">
      <c r="A79" s="8" t="s">
        <v>415</v>
      </c>
      <c r="B79" s="9" t="s">
        <v>427</v>
      </c>
      <c r="C79" s="8" t="s">
        <v>428</v>
      </c>
      <c r="D79" s="8" t="s">
        <v>128</v>
      </c>
      <c r="E79" s="9" t="s">
        <v>429</v>
      </c>
      <c r="F79" s="8"/>
      <c r="G79" s="8"/>
      <c r="H79" s="8"/>
      <c r="I79" s="9"/>
      <c r="J79" s="8" t="s">
        <v>117</v>
      </c>
      <c r="K79" s="8"/>
      <c r="L79" s="9"/>
      <c r="M79" s="9"/>
      <c r="N79" s="8" t="s">
        <v>119</v>
      </c>
      <c r="O79" s="9"/>
      <c r="P79" s="8"/>
    </row>
    <row r="80" customFormat="false" ht="23.85" hidden="false" customHeight="false" outlineLevel="0" collapsed="false">
      <c r="A80" s="8" t="s">
        <v>113</v>
      </c>
      <c r="B80" s="9" t="s">
        <v>430</v>
      </c>
      <c r="C80" s="8" t="s">
        <v>431</v>
      </c>
      <c r="D80" s="8" t="s">
        <v>135</v>
      </c>
      <c r="E80" s="9" t="s">
        <v>432</v>
      </c>
      <c r="F80" s="8"/>
      <c r="G80" s="8"/>
      <c r="H80" s="8"/>
      <c r="I80" s="9" t="s">
        <v>161</v>
      </c>
      <c r="J80" s="8" t="s">
        <v>35</v>
      </c>
      <c r="K80" s="8" t="s">
        <v>118</v>
      </c>
      <c r="L80" s="9"/>
      <c r="M80" s="9"/>
      <c r="N80" s="8" t="s">
        <v>433</v>
      </c>
      <c r="O80" s="11" t="s">
        <v>84</v>
      </c>
      <c r="P80" s="8"/>
    </row>
    <row r="81" customFormat="false" ht="23.85" hidden="false" customHeight="false" outlineLevel="0" collapsed="false">
      <c r="A81" s="8" t="s">
        <v>113</v>
      </c>
      <c r="B81" s="9" t="s">
        <v>434</v>
      </c>
      <c r="C81" s="8" t="s">
        <v>435</v>
      </c>
      <c r="D81" s="8" t="s">
        <v>135</v>
      </c>
      <c r="E81" s="9" t="s">
        <v>436</v>
      </c>
      <c r="F81" s="8"/>
      <c r="G81" s="8"/>
      <c r="H81" s="8"/>
      <c r="I81" s="9" t="s">
        <v>161</v>
      </c>
      <c r="J81" s="8" t="s">
        <v>35</v>
      </c>
      <c r="K81" s="8" t="s">
        <v>118</v>
      </c>
      <c r="L81" s="9"/>
      <c r="M81" s="9"/>
      <c r="N81" s="8" t="s">
        <v>433</v>
      </c>
      <c r="O81" s="11" t="s">
        <v>84</v>
      </c>
      <c r="P81" s="8"/>
    </row>
    <row r="82" customFormat="false" ht="23.85" hidden="false" customHeight="false" outlineLevel="0" collapsed="false">
      <c r="A82" s="8" t="s">
        <v>113</v>
      </c>
      <c r="B82" s="9" t="s">
        <v>437</v>
      </c>
      <c r="C82" s="8" t="s">
        <v>438</v>
      </c>
      <c r="D82" s="8" t="s">
        <v>135</v>
      </c>
      <c r="E82" s="9" t="s">
        <v>439</v>
      </c>
      <c r="F82" s="8"/>
      <c r="G82" s="8"/>
      <c r="H82" s="8"/>
      <c r="I82" s="9" t="s">
        <v>161</v>
      </c>
      <c r="J82" s="8" t="s">
        <v>35</v>
      </c>
      <c r="K82" s="8" t="s">
        <v>118</v>
      </c>
      <c r="L82" s="9"/>
      <c r="M82" s="9"/>
      <c r="N82" s="8" t="s">
        <v>433</v>
      </c>
      <c r="O82" s="11" t="s">
        <v>84</v>
      </c>
      <c r="P82" s="8"/>
    </row>
    <row r="83" customFormat="false" ht="23.85" hidden="false" customHeight="false" outlineLevel="0" collapsed="false">
      <c r="A83" s="8" t="s">
        <v>113</v>
      </c>
      <c r="B83" s="9" t="s">
        <v>440</v>
      </c>
      <c r="C83" s="8" t="s">
        <v>441</v>
      </c>
      <c r="D83" s="8" t="s">
        <v>140</v>
      </c>
      <c r="E83" s="9" t="s">
        <v>442</v>
      </c>
      <c r="F83" s="8"/>
      <c r="G83" s="8"/>
      <c r="H83" s="8"/>
      <c r="I83" s="9" t="s">
        <v>443</v>
      </c>
      <c r="J83" s="8" t="s">
        <v>35</v>
      </c>
      <c r="K83" s="8" t="s">
        <v>118</v>
      </c>
      <c r="L83" s="9"/>
      <c r="M83" s="9"/>
      <c r="N83" s="8" t="s">
        <v>433</v>
      </c>
      <c r="O83" s="11" t="s">
        <v>81</v>
      </c>
      <c r="P83" s="8"/>
    </row>
    <row r="84" customFormat="false" ht="23.85" hidden="false" customHeight="false" outlineLevel="0" collapsed="false">
      <c r="A84" s="8" t="s">
        <v>444</v>
      </c>
      <c r="B84" s="9" t="s">
        <v>445</v>
      </c>
      <c r="C84" s="8" t="s">
        <v>446</v>
      </c>
      <c r="D84" s="8" t="s">
        <v>308</v>
      </c>
      <c r="E84" s="9"/>
      <c r="F84" s="8"/>
      <c r="G84" s="8" t="s">
        <v>447</v>
      </c>
      <c r="H84" s="8"/>
      <c r="I84" s="9" t="s">
        <v>448</v>
      </c>
      <c r="J84" s="8" t="s">
        <v>449</v>
      </c>
      <c r="K84" s="8" t="s">
        <v>118</v>
      </c>
      <c r="L84" s="9"/>
      <c r="M84" s="9"/>
      <c r="N84" s="8" t="s">
        <v>433</v>
      </c>
      <c r="O84" s="11" t="s">
        <v>81</v>
      </c>
      <c r="P84" s="8"/>
    </row>
    <row r="85" customFormat="false" ht="15" hidden="false" customHeight="false" outlineLevel="0" collapsed="false">
      <c r="A85" s="8" t="s">
        <v>343</v>
      </c>
      <c r="B85" s="9" t="s">
        <v>450</v>
      </c>
      <c r="C85" s="8" t="s">
        <v>451</v>
      </c>
      <c r="D85" s="8" t="s">
        <v>116</v>
      </c>
      <c r="E85" s="9"/>
      <c r="F85" s="8"/>
      <c r="G85" s="8"/>
      <c r="H85" s="8"/>
      <c r="I85" s="9" t="s">
        <v>452</v>
      </c>
      <c r="J85" s="8" t="s">
        <v>35</v>
      </c>
      <c r="K85" s="8" t="s">
        <v>118</v>
      </c>
      <c r="L85" s="9"/>
      <c r="M85" s="9"/>
      <c r="N85" s="8" t="s">
        <v>433</v>
      </c>
      <c r="O85" s="11" t="s">
        <v>81</v>
      </c>
      <c r="P85" s="8"/>
    </row>
    <row r="86" customFormat="false" ht="23.85" hidden="false" customHeight="false" outlineLevel="0" collapsed="false">
      <c r="A86" s="8" t="s">
        <v>453</v>
      </c>
      <c r="B86" s="9" t="s">
        <v>454</v>
      </c>
      <c r="C86" s="8" t="s">
        <v>455</v>
      </c>
      <c r="D86" s="8" t="s">
        <v>135</v>
      </c>
      <c r="E86" s="9" t="s">
        <v>456</v>
      </c>
      <c r="F86" s="8"/>
      <c r="G86" s="8" t="s">
        <v>447</v>
      </c>
      <c r="H86" s="8"/>
      <c r="I86" s="9" t="s">
        <v>453</v>
      </c>
      <c r="J86" s="8" t="s">
        <v>449</v>
      </c>
      <c r="K86" s="8" t="s">
        <v>118</v>
      </c>
      <c r="L86" s="9"/>
      <c r="M86" s="9"/>
      <c r="N86" s="8" t="s">
        <v>433</v>
      </c>
      <c r="O86" s="11" t="s">
        <v>81</v>
      </c>
      <c r="P86" s="8"/>
    </row>
    <row r="87" customFormat="false" ht="15" hidden="false" customHeight="false" outlineLevel="0" collapsed="false">
      <c r="A87" s="8" t="s">
        <v>453</v>
      </c>
      <c r="B87" s="9" t="s">
        <v>457</v>
      </c>
      <c r="C87" s="8" t="s">
        <v>458</v>
      </c>
      <c r="D87" s="8" t="s">
        <v>116</v>
      </c>
      <c r="E87" s="9"/>
      <c r="F87" s="8"/>
      <c r="G87" s="8" t="s">
        <v>447</v>
      </c>
      <c r="H87" s="8"/>
      <c r="I87" s="9" t="s">
        <v>453</v>
      </c>
      <c r="J87" s="8" t="s">
        <v>449</v>
      </c>
      <c r="K87" s="8" t="s">
        <v>118</v>
      </c>
      <c r="L87" s="9"/>
      <c r="M87" s="9"/>
      <c r="N87" s="8" t="s">
        <v>433</v>
      </c>
      <c r="O87" s="11" t="s">
        <v>81</v>
      </c>
      <c r="P87" s="8"/>
    </row>
    <row r="88" customFormat="false" ht="23.85" hidden="false" customHeight="false" outlineLevel="0" collapsed="false">
      <c r="A88" s="8" t="s">
        <v>453</v>
      </c>
      <c r="B88" s="9" t="s">
        <v>459</v>
      </c>
      <c r="C88" s="8" t="s">
        <v>460</v>
      </c>
      <c r="D88" s="8" t="s">
        <v>135</v>
      </c>
      <c r="E88" s="9" t="s">
        <v>461</v>
      </c>
      <c r="F88" s="8"/>
      <c r="G88" s="8" t="s">
        <v>447</v>
      </c>
      <c r="H88" s="8"/>
      <c r="I88" s="9" t="s">
        <v>453</v>
      </c>
      <c r="J88" s="8" t="s">
        <v>449</v>
      </c>
      <c r="K88" s="8" t="s">
        <v>118</v>
      </c>
      <c r="L88" s="9"/>
      <c r="M88" s="9"/>
      <c r="N88" s="8" t="s">
        <v>433</v>
      </c>
      <c r="O88" s="11" t="s">
        <v>81</v>
      </c>
      <c r="P88" s="8"/>
    </row>
    <row r="89" customFormat="false" ht="15" hidden="false" customHeight="false" outlineLevel="0" collapsed="false">
      <c r="A89" s="8" t="s">
        <v>365</v>
      </c>
      <c r="B89" s="9" t="s">
        <v>462</v>
      </c>
      <c r="C89" s="8" t="s">
        <v>463</v>
      </c>
      <c r="D89" s="8" t="s">
        <v>308</v>
      </c>
      <c r="E89" s="9"/>
      <c r="F89" s="8"/>
      <c r="G89" s="8"/>
      <c r="H89" s="8"/>
      <c r="I89" s="9"/>
      <c r="J89" s="8" t="s">
        <v>117</v>
      </c>
      <c r="K89" s="8" t="s">
        <v>118</v>
      </c>
      <c r="L89" s="9"/>
      <c r="M89" s="9"/>
      <c r="N89" s="8" t="s">
        <v>433</v>
      </c>
      <c r="O89" s="9"/>
      <c r="P89" s="8"/>
    </row>
    <row r="90" customFormat="false" ht="23.85" hidden="false" customHeight="false" outlineLevel="0" collapsed="false">
      <c r="A90" s="8" t="s">
        <v>464</v>
      </c>
      <c r="B90" s="9" t="s">
        <v>465</v>
      </c>
      <c r="C90" s="8" t="s">
        <v>466</v>
      </c>
      <c r="D90" s="8" t="s">
        <v>308</v>
      </c>
      <c r="E90" s="9"/>
      <c r="F90" s="8"/>
      <c r="G90" s="8" t="s">
        <v>447</v>
      </c>
      <c r="H90" s="8"/>
      <c r="I90" s="9" t="s">
        <v>448</v>
      </c>
      <c r="J90" s="8" t="s">
        <v>449</v>
      </c>
      <c r="K90" s="8" t="s">
        <v>118</v>
      </c>
      <c r="L90" s="9"/>
      <c r="M90" s="9"/>
      <c r="N90" s="8" t="s">
        <v>433</v>
      </c>
      <c r="O90" s="11" t="s">
        <v>81</v>
      </c>
      <c r="P90" s="8"/>
    </row>
    <row r="91" customFormat="false" ht="23.85" hidden="false" customHeight="false" outlineLevel="0" collapsed="false">
      <c r="A91" s="8" t="s">
        <v>464</v>
      </c>
      <c r="B91" s="9" t="s">
        <v>467</v>
      </c>
      <c r="C91" s="8" t="s">
        <v>468</v>
      </c>
      <c r="D91" s="8" t="s">
        <v>140</v>
      </c>
      <c r="E91" s="9" t="s">
        <v>469</v>
      </c>
      <c r="F91" s="8"/>
      <c r="G91" s="8" t="s">
        <v>447</v>
      </c>
      <c r="H91" s="8"/>
      <c r="I91" s="9" t="s">
        <v>448</v>
      </c>
      <c r="J91" s="8" t="s">
        <v>449</v>
      </c>
      <c r="K91" s="8" t="s">
        <v>123</v>
      </c>
      <c r="L91" s="9"/>
      <c r="M91" s="9"/>
      <c r="N91" s="8" t="s">
        <v>433</v>
      </c>
      <c r="O91" s="11" t="s">
        <v>81</v>
      </c>
      <c r="P91" s="8"/>
    </row>
    <row r="92" customFormat="false" ht="23.85" hidden="false" customHeight="false" outlineLevel="0" collapsed="false">
      <c r="A92" s="8" t="s">
        <v>470</v>
      </c>
      <c r="B92" s="9" t="s">
        <v>471</v>
      </c>
      <c r="C92" s="8" t="s">
        <v>472</v>
      </c>
      <c r="D92" s="8" t="s">
        <v>308</v>
      </c>
      <c r="E92" s="9"/>
      <c r="F92" s="8"/>
      <c r="G92" s="8"/>
      <c r="H92" s="8"/>
      <c r="I92" s="9" t="s">
        <v>443</v>
      </c>
      <c r="J92" s="8" t="s">
        <v>35</v>
      </c>
      <c r="K92" s="8" t="s">
        <v>118</v>
      </c>
      <c r="L92" s="9"/>
      <c r="M92" s="9"/>
      <c r="N92" s="8" t="s">
        <v>433</v>
      </c>
      <c r="O92" s="11" t="s">
        <v>81</v>
      </c>
      <c r="P92" s="8"/>
    </row>
    <row r="93" customFormat="false" ht="23.85" hidden="false" customHeight="false" outlineLevel="0" collapsed="false">
      <c r="A93" s="8" t="s">
        <v>470</v>
      </c>
      <c r="B93" s="9" t="s">
        <v>473</v>
      </c>
      <c r="C93" s="8" t="s">
        <v>474</v>
      </c>
      <c r="D93" s="8" t="s">
        <v>128</v>
      </c>
      <c r="E93" s="9" t="s">
        <v>475</v>
      </c>
      <c r="F93" s="8"/>
      <c r="G93" s="8"/>
      <c r="H93" s="8"/>
      <c r="I93" s="9" t="s">
        <v>476</v>
      </c>
      <c r="J93" s="8" t="s">
        <v>35</v>
      </c>
      <c r="K93" s="8" t="s">
        <v>118</v>
      </c>
      <c r="L93" s="9"/>
      <c r="M93" s="9"/>
      <c r="N93" s="8" t="s">
        <v>433</v>
      </c>
      <c r="O93" s="11" t="s">
        <v>81</v>
      </c>
      <c r="P93" s="8"/>
    </row>
    <row r="94" customFormat="false" ht="23.85" hidden="false" customHeight="false" outlineLevel="0" collapsed="false">
      <c r="A94" s="8" t="s">
        <v>470</v>
      </c>
      <c r="B94" s="9" t="s">
        <v>477</v>
      </c>
      <c r="C94" s="8" t="s">
        <v>478</v>
      </c>
      <c r="D94" s="8" t="s">
        <v>308</v>
      </c>
      <c r="E94" s="9"/>
      <c r="F94" s="8"/>
      <c r="G94" s="8"/>
      <c r="H94" s="8"/>
      <c r="I94" s="9" t="s">
        <v>476</v>
      </c>
      <c r="J94" s="8" t="s">
        <v>35</v>
      </c>
      <c r="K94" s="8" t="s">
        <v>118</v>
      </c>
      <c r="L94" s="9"/>
      <c r="M94" s="9"/>
      <c r="N94" s="8" t="s">
        <v>433</v>
      </c>
      <c r="O94" s="11" t="s">
        <v>81</v>
      </c>
      <c r="P94" s="8"/>
    </row>
    <row r="95" customFormat="false" ht="23.85" hidden="false" customHeight="false" outlineLevel="0" collapsed="false">
      <c r="A95" s="8" t="s">
        <v>470</v>
      </c>
      <c r="B95" s="9" t="s">
        <v>479</v>
      </c>
      <c r="C95" s="8" t="s">
        <v>480</v>
      </c>
      <c r="D95" s="8" t="s">
        <v>128</v>
      </c>
      <c r="E95" s="9" t="s">
        <v>481</v>
      </c>
      <c r="F95" s="8"/>
      <c r="G95" s="8"/>
      <c r="H95" s="8"/>
      <c r="I95" s="9" t="s">
        <v>476</v>
      </c>
      <c r="J95" s="8" t="s">
        <v>35</v>
      </c>
      <c r="K95" s="8" t="s">
        <v>118</v>
      </c>
      <c r="L95" s="9"/>
      <c r="M95" s="9"/>
      <c r="N95" s="8" t="s">
        <v>433</v>
      </c>
      <c r="O95" s="11" t="s">
        <v>81</v>
      </c>
      <c r="P95" s="8"/>
    </row>
    <row r="96" customFormat="false" ht="23.85" hidden="false" customHeight="false" outlineLevel="0" collapsed="false">
      <c r="A96" s="8" t="s">
        <v>482</v>
      </c>
      <c r="B96" s="9" t="s">
        <v>483</v>
      </c>
      <c r="C96" s="8" t="s">
        <v>484</v>
      </c>
      <c r="D96" s="8" t="s">
        <v>128</v>
      </c>
      <c r="E96" s="9" t="s">
        <v>485</v>
      </c>
      <c r="F96" s="8"/>
      <c r="G96" s="8" t="s">
        <v>447</v>
      </c>
      <c r="H96" s="8" t="s">
        <v>486</v>
      </c>
      <c r="I96" s="9"/>
      <c r="J96" s="8" t="s">
        <v>18</v>
      </c>
      <c r="K96" s="8" t="s">
        <v>118</v>
      </c>
      <c r="L96" s="9"/>
      <c r="M96" s="9"/>
      <c r="N96" s="8" t="s">
        <v>433</v>
      </c>
      <c r="O96" s="11" t="s">
        <v>53</v>
      </c>
      <c r="P96" s="8"/>
    </row>
    <row r="97" customFormat="false" ht="23.85" hidden="false" customHeight="false" outlineLevel="0" collapsed="false">
      <c r="A97" s="8" t="s">
        <v>482</v>
      </c>
      <c r="B97" s="9" t="s">
        <v>487</v>
      </c>
      <c r="C97" s="8" t="s">
        <v>488</v>
      </c>
      <c r="D97" s="8" t="s">
        <v>128</v>
      </c>
      <c r="E97" s="9" t="s">
        <v>489</v>
      </c>
      <c r="F97" s="8"/>
      <c r="G97" s="8" t="s">
        <v>447</v>
      </c>
      <c r="H97" s="8" t="s">
        <v>486</v>
      </c>
      <c r="I97" s="9"/>
      <c r="J97" s="8" t="s">
        <v>18</v>
      </c>
      <c r="K97" s="8" t="s">
        <v>118</v>
      </c>
      <c r="L97" s="9"/>
      <c r="M97" s="9"/>
      <c r="N97" s="8" t="s">
        <v>433</v>
      </c>
      <c r="O97" s="11" t="s">
        <v>53</v>
      </c>
      <c r="P97" s="8"/>
    </row>
    <row r="98" customFormat="false" ht="23.85" hidden="false" customHeight="false" outlineLevel="0" collapsed="false">
      <c r="A98" s="8" t="s">
        <v>482</v>
      </c>
      <c r="B98" s="9" t="s">
        <v>490</v>
      </c>
      <c r="C98" s="8" t="s">
        <v>491</v>
      </c>
      <c r="D98" s="8" t="s">
        <v>128</v>
      </c>
      <c r="E98" s="9" t="s">
        <v>492</v>
      </c>
      <c r="F98" s="8"/>
      <c r="G98" s="8" t="s">
        <v>447</v>
      </c>
      <c r="H98" s="8" t="s">
        <v>486</v>
      </c>
      <c r="I98" s="9"/>
      <c r="J98" s="8" t="s">
        <v>18</v>
      </c>
      <c r="K98" s="8" t="s">
        <v>118</v>
      </c>
      <c r="L98" s="9"/>
      <c r="M98" s="9"/>
      <c r="N98" s="8" t="s">
        <v>433</v>
      </c>
      <c r="O98" s="11" t="s">
        <v>53</v>
      </c>
      <c r="P98" s="8"/>
    </row>
    <row r="99" customFormat="false" ht="23.85" hidden="false" customHeight="false" outlineLevel="0" collapsed="false">
      <c r="A99" s="8" t="s">
        <v>482</v>
      </c>
      <c r="B99" s="9" t="s">
        <v>493</v>
      </c>
      <c r="C99" s="8" t="s">
        <v>494</v>
      </c>
      <c r="D99" s="8" t="s">
        <v>128</v>
      </c>
      <c r="E99" s="9" t="s">
        <v>485</v>
      </c>
      <c r="F99" s="8"/>
      <c r="G99" s="8" t="s">
        <v>447</v>
      </c>
      <c r="H99" s="8" t="s">
        <v>486</v>
      </c>
      <c r="I99" s="9"/>
      <c r="J99" s="8" t="s">
        <v>18</v>
      </c>
      <c r="K99" s="8" t="s">
        <v>118</v>
      </c>
      <c r="L99" s="9"/>
      <c r="M99" s="9"/>
      <c r="N99" s="8" t="s">
        <v>433</v>
      </c>
      <c r="O99" s="11" t="s">
        <v>53</v>
      </c>
      <c r="P99" s="8"/>
    </row>
    <row r="100" customFormat="false" ht="15" hidden="false" customHeight="false" outlineLevel="0" collapsed="false">
      <c r="A100" s="8" t="s">
        <v>495</v>
      </c>
      <c r="B100" s="9" t="s">
        <v>496</v>
      </c>
      <c r="C100" s="8" t="s">
        <v>497</v>
      </c>
      <c r="D100" s="8" t="s">
        <v>116</v>
      </c>
      <c r="E100" s="9"/>
      <c r="F100" s="8"/>
      <c r="G100" s="8" t="s">
        <v>447</v>
      </c>
      <c r="H100" s="8" t="s">
        <v>498</v>
      </c>
      <c r="I100" s="9"/>
      <c r="J100" s="8" t="s">
        <v>18</v>
      </c>
      <c r="K100" s="8" t="s">
        <v>123</v>
      </c>
      <c r="L100" s="9"/>
      <c r="M100" s="9"/>
      <c r="N100" s="8" t="s">
        <v>433</v>
      </c>
      <c r="O100" s="11" t="s">
        <v>53</v>
      </c>
      <c r="P100" s="8"/>
    </row>
    <row r="101" customFormat="false" ht="15" hidden="false" customHeight="false" outlineLevel="0" collapsed="false">
      <c r="A101" s="8" t="s">
        <v>495</v>
      </c>
      <c r="B101" s="9" t="s">
        <v>499</v>
      </c>
      <c r="C101" s="8" t="s">
        <v>500</v>
      </c>
      <c r="D101" s="8" t="s">
        <v>116</v>
      </c>
      <c r="E101" s="9"/>
      <c r="F101" s="8"/>
      <c r="G101" s="8" t="s">
        <v>447</v>
      </c>
      <c r="H101" s="8" t="s">
        <v>501</v>
      </c>
      <c r="I101" s="9"/>
      <c r="J101" s="8" t="s">
        <v>18</v>
      </c>
      <c r="K101" s="8" t="s">
        <v>123</v>
      </c>
      <c r="L101" s="9"/>
      <c r="M101" s="9"/>
      <c r="N101" s="8" t="s">
        <v>433</v>
      </c>
      <c r="O101" s="11" t="s">
        <v>53</v>
      </c>
      <c r="P101" s="8"/>
    </row>
    <row r="102" customFormat="false" ht="15" hidden="false" customHeight="false" outlineLevel="0" collapsed="false">
      <c r="A102" s="8" t="s">
        <v>495</v>
      </c>
      <c r="B102" s="9" t="s">
        <v>375</v>
      </c>
      <c r="C102" s="8" t="s">
        <v>502</v>
      </c>
      <c r="D102" s="8" t="s">
        <v>116</v>
      </c>
      <c r="E102" s="9"/>
      <c r="F102" s="8"/>
      <c r="G102" s="8" t="s">
        <v>447</v>
      </c>
      <c r="H102" s="8" t="s">
        <v>501</v>
      </c>
      <c r="I102" s="9"/>
      <c r="J102" s="8" t="s">
        <v>18</v>
      </c>
      <c r="K102" s="8" t="s">
        <v>123</v>
      </c>
      <c r="L102" s="9"/>
      <c r="M102" s="9"/>
      <c r="N102" s="8" t="s">
        <v>433</v>
      </c>
      <c r="O102" s="11" t="s">
        <v>53</v>
      </c>
      <c r="P102" s="8"/>
    </row>
    <row r="103" customFormat="false" ht="15" hidden="false" customHeight="false" outlineLevel="0" collapsed="false">
      <c r="A103" s="8" t="s">
        <v>495</v>
      </c>
      <c r="B103" s="9" t="s">
        <v>503</v>
      </c>
      <c r="C103" s="8" t="s">
        <v>504</v>
      </c>
      <c r="D103" s="8" t="s">
        <v>135</v>
      </c>
      <c r="E103" s="9" t="s">
        <v>505</v>
      </c>
      <c r="F103" s="8"/>
      <c r="G103" s="8" t="s">
        <v>447</v>
      </c>
      <c r="H103" s="8" t="s">
        <v>501</v>
      </c>
      <c r="I103" s="9"/>
      <c r="J103" s="8" t="s">
        <v>18</v>
      </c>
      <c r="K103" s="8" t="s">
        <v>123</v>
      </c>
      <c r="L103" s="9"/>
      <c r="M103" s="9"/>
      <c r="N103" s="8" t="s">
        <v>433</v>
      </c>
      <c r="O103" s="11" t="s">
        <v>53</v>
      </c>
      <c r="P103" s="8"/>
    </row>
    <row r="104" customFormat="false" ht="15" hidden="false" customHeight="false" outlineLevel="0" collapsed="false">
      <c r="A104" s="8" t="s">
        <v>495</v>
      </c>
      <c r="B104" s="9" t="s">
        <v>506</v>
      </c>
      <c r="C104" s="8" t="s">
        <v>507</v>
      </c>
      <c r="D104" s="8" t="s">
        <v>116</v>
      </c>
      <c r="E104" s="9"/>
      <c r="F104" s="8"/>
      <c r="G104" s="8" t="s">
        <v>447</v>
      </c>
      <c r="H104" s="8" t="s">
        <v>501</v>
      </c>
      <c r="I104" s="9"/>
      <c r="J104" s="8" t="s">
        <v>18</v>
      </c>
      <c r="K104" s="8" t="s">
        <v>123</v>
      </c>
      <c r="L104" s="9"/>
      <c r="M104" s="9"/>
      <c r="N104" s="8" t="s">
        <v>433</v>
      </c>
      <c r="O104" s="11" t="s">
        <v>53</v>
      </c>
      <c r="P104" s="8"/>
    </row>
    <row r="105" customFormat="false" ht="15" hidden="false" customHeight="false" outlineLevel="0" collapsed="false">
      <c r="A105" s="8" t="s">
        <v>495</v>
      </c>
      <c r="B105" s="9" t="s">
        <v>508</v>
      </c>
      <c r="C105" s="8" t="s">
        <v>509</v>
      </c>
      <c r="D105" s="8" t="s">
        <v>308</v>
      </c>
      <c r="E105" s="9"/>
      <c r="F105" s="8"/>
      <c r="G105" s="8" t="s">
        <v>447</v>
      </c>
      <c r="H105" s="8" t="s">
        <v>501</v>
      </c>
      <c r="I105" s="9"/>
      <c r="J105" s="8" t="s">
        <v>18</v>
      </c>
      <c r="K105" s="8" t="s">
        <v>123</v>
      </c>
      <c r="L105" s="9"/>
      <c r="M105" s="9"/>
      <c r="N105" s="8" t="s">
        <v>433</v>
      </c>
      <c r="O105" s="11" t="s">
        <v>53</v>
      </c>
      <c r="P105" s="8"/>
    </row>
    <row r="106" customFormat="false" ht="15" hidden="false" customHeight="false" outlineLevel="0" collapsed="false">
      <c r="A106" s="8" t="s">
        <v>495</v>
      </c>
      <c r="B106" s="9" t="s">
        <v>510</v>
      </c>
      <c r="C106" s="8" t="s">
        <v>511</v>
      </c>
      <c r="D106" s="8" t="s">
        <v>308</v>
      </c>
      <c r="E106" s="9"/>
      <c r="F106" s="8"/>
      <c r="G106" s="8" t="s">
        <v>447</v>
      </c>
      <c r="H106" s="8" t="s">
        <v>512</v>
      </c>
      <c r="I106" s="9"/>
      <c r="J106" s="8" t="s">
        <v>18</v>
      </c>
      <c r="K106" s="8" t="s">
        <v>123</v>
      </c>
      <c r="L106" s="9"/>
      <c r="M106" s="9"/>
      <c r="N106" s="8" t="s">
        <v>433</v>
      </c>
      <c r="O106" s="11" t="s">
        <v>53</v>
      </c>
      <c r="P106" s="8"/>
    </row>
    <row r="107" customFormat="false" ht="15" hidden="false" customHeight="false" outlineLevel="0" collapsed="false">
      <c r="A107" s="8" t="s">
        <v>495</v>
      </c>
      <c r="B107" s="9" t="s">
        <v>513</v>
      </c>
      <c r="C107" s="8" t="s">
        <v>514</v>
      </c>
      <c r="D107" s="8" t="s">
        <v>116</v>
      </c>
      <c r="E107" s="9"/>
      <c r="F107" s="8"/>
      <c r="G107" s="8" t="s">
        <v>447</v>
      </c>
      <c r="H107" s="8" t="s">
        <v>515</v>
      </c>
      <c r="I107" s="9"/>
      <c r="J107" s="8" t="s">
        <v>18</v>
      </c>
      <c r="K107" s="8" t="s">
        <v>123</v>
      </c>
      <c r="L107" s="9"/>
      <c r="M107" s="9"/>
      <c r="N107" s="8" t="s">
        <v>433</v>
      </c>
      <c r="O107" s="11" t="s">
        <v>53</v>
      </c>
      <c r="P107" s="8"/>
    </row>
    <row r="108" customFormat="false" ht="15" hidden="false" customHeight="false" outlineLevel="0" collapsed="false">
      <c r="A108" s="8" t="s">
        <v>495</v>
      </c>
      <c r="B108" s="9" t="s">
        <v>516</v>
      </c>
      <c r="C108" s="8" t="s">
        <v>517</v>
      </c>
      <c r="D108" s="8" t="s">
        <v>116</v>
      </c>
      <c r="E108" s="9"/>
      <c r="F108" s="8"/>
      <c r="G108" s="8" t="s">
        <v>447</v>
      </c>
      <c r="H108" s="8" t="s">
        <v>518</v>
      </c>
      <c r="I108" s="9"/>
      <c r="J108" s="8" t="s">
        <v>18</v>
      </c>
      <c r="K108" s="8" t="s">
        <v>123</v>
      </c>
      <c r="L108" s="9"/>
      <c r="M108" s="9"/>
      <c r="N108" s="8" t="s">
        <v>433</v>
      </c>
      <c r="O108" s="11" t="s">
        <v>53</v>
      </c>
      <c r="P108" s="8"/>
    </row>
  </sheetData>
  <dataValidations count="1">
    <dataValidation allowBlank="true" errorStyle="stop" operator="between" showDropDown="false" showErrorMessage="false" showInputMessage="false" sqref="P2:P108" type="list">
      <formula1>"Y,N"</formula1>
      <formula2>0</formula2>
    </dataValidation>
  </dataValidations>
  <hyperlinks>
    <hyperlink ref="O3" r:id="rId1" display="https://apps.naaccr.org/data-dictionary/data-dictionary/version=25/data-item-view/item-number=240/"/>
    <hyperlink ref="O4" r:id="rId2" display="https://apps.naaccr.org/data-dictionary/data-dictionary/version=25/data-item-view/item-number=220/"/>
    <hyperlink ref="O6" r:id="rId3" display="https://apps.naaccr.org/data-dictionary/data-dictionary/version=25/data-item-view/item-number=160/"/>
    <hyperlink ref="O7" r:id="rId4" display="https://apps.naaccr.org/data-dictionary/data-dictionary/version=25/data-item-view/item-number=190/"/>
    <hyperlink ref="O10" r:id="rId5" display="https://support.researchallofus.org/hc/en-us/articles/6085285773204-The-Basics-Baseline-Survey-Details-and-Resources"/>
    <hyperlink ref="O11" r:id="rId6" display="https://support.researchallofus.org/hc/en-us/articles/6085285773204-The-Basics-Baseline-Survey-Details-and-Resources"/>
    <hyperlink ref="O12" r:id="rId7" display="https://support.researchallofus.org/hc/en-us/articles/6085285773204-The-Basics-Baseline-Survey-Details-and-Resources"/>
    <hyperlink ref="O13" r:id="rId8" display="https://support.researchallofus.org/hc/en-us/articles/6085285773204-The-Basics-Baseline-Survey-Details-and-Resources"/>
    <hyperlink ref="O14" r:id="rId9" display="https://support.researchallofus.org/hc/en-us/articles/6085285773204-The-Basics-Baseline-Survey-Details-and-Resources"/>
    <hyperlink ref="O15" r:id="rId10" display="https://support.researchallofus.org/hc/en-us/articles/6085285773204-The-Basics-Baseline-Survey-Details-and-Resources"/>
    <hyperlink ref="O16" r:id="rId11" display="https://support.researchallofus.org/hc/en-us/articles/6085285773204-The-Basics-Baseline-Survey-Details-and-Resources"/>
    <hyperlink ref="O17" r:id="rId12" display="https://support.researchallofus.org/hc/en-us/articles/6085285773204-The-Basics-Baseline-Survey-Details-and-Resources"/>
    <hyperlink ref="O18" r:id="rId13" display="https://support.researchallofus.org/hc/en-us/articles/6085285773204-The-Basics-Baseline-Survey-Details-and-Resources"/>
    <hyperlink ref="O19" r:id="rId14" display="https://support.researchallofus.org/hc/en-us/articles/6085285773204-The-Basics-Baseline-Survey-Details-and-Resources"/>
    <hyperlink ref="O20" r:id="rId15" display="https://support.researchallofus.org/hc/en-us/articles/6085285773204-The-Basics-Baseline-Survey-Details-and-Resources"/>
    <hyperlink ref="O21" r:id="rId16" display="https://support.researchallofus.org/hc/en-us/articles/6085285773204-The-Basics-Baseline-Survey-Details-and-Resources"/>
    <hyperlink ref="O22" r:id="rId17" display="https://support.researchallofus.org/hc/en-us/articles/6085285773204-The-Basics-Baseline-Survey-Details-and-Resources"/>
    <hyperlink ref="O23" r:id="rId18" display="https://support.researchallofus.org/hc/en-us/articles/6085285773204-The-Basics-Baseline-Survey-Details-and-Resources"/>
    <hyperlink ref="O24" r:id="rId19" display="https://support.researchallofus.org/hc/en-us/articles/6085285773204-The-Basics-Baseline-Survey-Details-and-Resources"/>
    <hyperlink ref="O25" r:id="rId20" display="https://support.researchallofus.org/hc/en-us/articles/6085285773204-The-Basics-Baseline-Survey-Details-and-Resources"/>
    <hyperlink ref="O26" r:id="rId21" display="https://support.researchallofus.org/hc/en-us/articles/6085285773204-The-Basics-Baseline-Survey-Details-and-Resources"/>
    <hyperlink ref="O27" r:id="rId22" display="https://support.researchallofus.org/hc/en-us/articles/6085285773204-The-Basics-Baseline-Survey-Details-and-Resources"/>
    <hyperlink ref="O28" r:id="rId23" display="https://support.researchallofus.org/hc/en-us/articles/6085285773204-The-Basics-Baseline-Survey-Details-and-Resources"/>
    <hyperlink ref="O29" r:id="rId24" display="https://support.researchallofus.org/hc/en-us/articles/6085285773204-The-Basics-Baseline-Survey-Details-and-Resources"/>
    <hyperlink ref="O30" r:id="rId25" display="https://support.researchallofus.org/hc/en-us/articles/6085285773204-The-Basics-Baseline-Survey-Details-and-Resources"/>
    <hyperlink ref="O31" r:id="rId26" display="https://support.researchallofus.org/hc/en-us/articles/6085285773204-The-Basics-Baseline-Survey-Details-and-Resources"/>
    <hyperlink ref="O32" r:id="rId27" display="https://support.researchallofus.org/hc/en-us/articles/6085285773204-The-Basics-Baseline-Survey-Details-and-Resources"/>
    <hyperlink ref="O33" r:id="rId28" display="https://support.researchallofus.org/hc/en-us/articles/6085285773204-The-Basics-Baseline-Survey-Details-and-Resources"/>
    <hyperlink ref="O34" r:id="rId29" display="https://apps.naaccr.org/data-dictionary/data-dictionary/version=25/data-item-view/item-number=380/"/>
    <hyperlink ref="O35" r:id="rId30" display="https://apps.naaccr.org/data-dictionary/data-dictionary/version=25/data-item-view/item-number=390/"/>
    <hyperlink ref="O36" r:id="rId31" display="https://apps.naaccr.org/data-dictionary/data-dictionary/version=25/data-item-view/item-number=400/"/>
    <hyperlink ref="O37" r:id="rId32" display="https://apps.naaccr.org/data-dictionary/data-dictionary/version=25/data-item-view/item-number=410/"/>
    <hyperlink ref="O38" r:id="rId33" display="https://apps.naaccr.org/data-dictionary/data-dictionary/version=25/data-item-view/item-number=522/"/>
    <hyperlink ref="O39" r:id="rId34" display="https://apps.naaccr.org/data-dictionary/data-dictionary/version=25/data-item-view/item-number=523/"/>
    <hyperlink ref="O40" r:id="rId35" display="https://apps.naaccr.org/data-dictionary/data-dictionary/version=25/data-item-view/item-number=490/"/>
    <hyperlink ref="O41" r:id="rId36" display="https://apps.naaccr.org/data-dictionary/data-dictionary/version=25/data-item-view/item-number=764/"/>
    <hyperlink ref="O42" r:id="rId37" display="https://apps.naaccr.org/data-dictionary/data-dictionary/version=25/data-item-view/item-number=3827/"/>
    <hyperlink ref="O43" r:id="rId38" display="https://apps.naaccr.org/data-dictionary/data-dictionary/version=25/data-item-view/item-number=3915/"/>
    <hyperlink ref="O44" r:id="rId39" display="https://apps.naaccr.org/data-dictionary/data-dictionary/version=25/data-item-view/item-number=3855/"/>
    <hyperlink ref="O45" r:id="rId40" display="https://apps.naaccr.org/data-dictionary/data-dictionary/version=25/data-item-view/item-number=1290/"/>
    <hyperlink ref="O46" r:id="rId41" display="https://apps.naaccr.org/data-dictionary/data-dictionary/version=25/data-item-view/item-number=1360/"/>
    <hyperlink ref="O47" r:id="rId42" display="https://apps.naaccr.org/data-dictionary/data-dictionary/version=25/data-item-view/item-number=1390/"/>
    <hyperlink ref="O48" r:id="rId43" display="https://apps.naaccr.org/data-dictionary/data-dictionary/version=25/data-item-view/item-number=1400/"/>
    <hyperlink ref="O49" r:id="rId44" display="https://apps.naaccr.org/data-dictionary/data-dictionary/version=25/data-item-view/item-number=1410/"/>
    <hyperlink ref="O50" r:id="rId45" display="https://apps.naaccr.org/data-dictionary/data-dictionary/version=25/data-item-view/item-number=1750/"/>
    <hyperlink ref="O51" r:id="rId46" display="https://apps.naaccr.org/data-dictionary/data-dictionary/version=25/data-item-view/item-number=1760/"/>
    <hyperlink ref="O80" r:id="rId47" display="https://support.researchallofus.org/hc/en-us/articles/6085285773204-The-Basics-Baseline-Survey-Details-and-Resources"/>
    <hyperlink ref="O81" r:id="rId48" display="https://support.researchallofus.org/hc/en-us/articles/6085285773204-The-Basics-Baseline-Survey-Details-and-Resources"/>
    <hyperlink ref="O82" r:id="rId49" display="https://support.researchallofus.org/hc/en-us/articles/6085285773204-The-Basics-Baseline-Survey-Details-and-Resources"/>
    <hyperlink ref="O83" r:id="rId50" display="https://www.researchallofus.org/data-tools/survey-explorer/"/>
    <hyperlink ref="O84" r:id="rId51" display="https://www.researchallofus.org/data-tools/survey-explorer/"/>
    <hyperlink ref="O85" r:id="rId52" display="https://www.researchallofus.org/data-tools/survey-explorer/"/>
    <hyperlink ref="O86" r:id="rId53" display="https://www.researchallofus.org/data-tools/survey-explorer/"/>
    <hyperlink ref="O87" r:id="rId54" display="https://www.researchallofus.org/data-tools/survey-explorer/"/>
    <hyperlink ref="O88" r:id="rId55" display="https://www.researchallofus.org/data-tools/survey-explorer/"/>
    <hyperlink ref="O90" r:id="rId56" display="https://www.researchallofus.org/data-tools/survey-explorer/"/>
    <hyperlink ref="O91" r:id="rId57" display="https://www.researchallofus.org/data-tools/survey-explorer/"/>
    <hyperlink ref="O92" r:id="rId58" display="https://www.researchallofus.org/data-tools/survey-explorer/"/>
    <hyperlink ref="O93" r:id="rId59" display="https://www.researchallofus.org/data-tools/survey-explorer/"/>
    <hyperlink ref="O94" r:id="rId60" display="https://www.researchallofus.org/data-tools/survey-explorer/"/>
    <hyperlink ref="O95" r:id="rId61" display="https://www.researchallofus.org/data-tools/survey-explorer/"/>
    <hyperlink ref="O96" r:id="rId62" display="https://cadsr.cancer.gov/"/>
    <hyperlink ref="O97" r:id="rId63" display="https://cadsr.cancer.gov/"/>
    <hyperlink ref="O98" r:id="rId64" display="https://cadsr.cancer.gov/"/>
    <hyperlink ref="O99" r:id="rId65" display="https://cadsr.cancer.gov/"/>
    <hyperlink ref="O100" r:id="rId66" display="https://cadsr.cancer.gov/"/>
    <hyperlink ref="O101" r:id="rId67" display="https://cadsr.cancer.gov/"/>
    <hyperlink ref="O102" r:id="rId68" display="https://cadsr.cancer.gov/"/>
    <hyperlink ref="O103" r:id="rId69" display="https://cadsr.cancer.gov/"/>
    <hyperlink ref="O104" r:id="rId70" display="https://cadsr.cancer.gov/"/>
    <hyperlink ref="O105" r:id="rId71" display="https://cadsr.cancer.gov/"/>
    <hyperlink ref="O106" r:id="rId72" display="https://cadsr.cancer.gov/"/>
    <hyperlink ref="O107" r:id="rId73" display="https://cadsr.cancer.gov/"/>
    <hyperlink ref="O108" r:id="rId74" display="https://cadsr.cancer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7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7" t="s">
        <v>519</v>
      </c>
      <c r="B1" s="7" t="s">
        <v>520</v>
      </c>
      <c r="C1" s="7" t="s">
        <v>521</v>
      </c>
      <c r="D1" s="7" t="s">
        <v>108</v>
      </c>
      <c r="E1" s="7" t="s">
        <v>522</v>
      </c>
      <c r="F1" s="7" t="s">
        <v>523</v>
      </c>
      <c r="G1" s="7" t="s">
        <v>524</v>
      </c>
      <c r="H1" s="7" t="s">
        <v>111</v>
      </c>
    </row>
    <row r="2" customFormat="false" ht="15" hidden="false" customHeight="false" outlineLevel="0" collapsed="false">
      <c r="A2" s="8" t="s">
        <v>142</v>
      </c>
      <c r="B2" s="8" t="s">
        <v>525</v>
      </c>
      <c r="C2" s="8" t="s">
        <v>526</v>
      </c>
      <c r="D2" s="8" t="s">
        <v>123</v>
      </c>
      <c r="E2" s="9" t="s">
        <v>527</v>
      </c>
      <c r="F2" s="8" t="s">
        <v>139</v>
      </c>
      <c r="G2" s="9" t="s">
        <v>528</v>
      </c>
      <c r="H2" s="11" t="s">
        <v>144</v>
      </c>
    </row>
    <row r="3" customFormat="false" ht="15" hidden="false" customHeight="false" outlineLevel="0" collapsed="false">
      <c r="A3" s="8" t="s">
        <v>148</v>
      </c>
      <c r="B3" s="8" t="s">
        <v>529</v>
      </c>
      <c r="C3" s="8" t="s">
        <v>526</v>
      </c>
      <c r="D3" s="8" t="s">
        <v>123</v>
      </c>
      <c r="E3" s="9" t="s">
        <v>530</v>
      </c>
      <c r="F3" s="8" t="s">
        <v>146</v>
      </c>
      <c r="G3" s="9" t="s">
        <v>531</v>
      </c>
      <c r="H3" s="11" t="s">
        <v>150</v>
      </c>
    </row>
    <row r="4" customFormat="false" ht="15" hidden="false" customHeight="false" outlineLevel="0" collapsed="false">
      <c r="A4" s="8" t="s">
        <v>130</v>
      </c>
      <c r="B4" s="8" t="s">
        <v>126</v>
      </c>
      <c r="C4" s="8" t="s">
        <v>526</v>
      </c>
      <c r="D4" s="8" t="s">
        <v>123</v>
      </c>
      <c r="E4" s="9" t="s">
        <v>532</v>
      </c>
      <c r="F4" s="8" t="s">
        <v>127</v>
      </c>
      <c r="G4" s="9"/>
      <c r="H4" s="11" t="s">
        <v>132</v>
      </c>
    </row>
    <row r="5" customFormat="false" ht="23.85" hidden="false" customHeight="false" outlineLevel="0" collapsed="false">
      <c r="A5" s="8" t="s">
        <v>533</v>
      </c>
      <c r="B5" s="8" t="s">
        <v>534</v>
      </c>
      <c r="C5" s="8" t="s">
        <v>526</v>
      </c>
      <c r="D5" s="8" t="s">
        <v>245</v>
      </c>
      <c r="E5" s="9" t="s">
        <v>535</v>
      </c>
      <c r="F5" s="8" t="s">
        <v>535</v>
      </c>
      <c r="G5" s="9" t="s">
        <v>536</v>
      </c>
      <c r="H5" s="11" t="s">
        <v>537</v>
      </c>
    </row>
    <row r="6" customFormat="false" ht="15" hidden="false" customHeight="false" outlineLevel="0" collapsed="false">
      <c r="A6" s="8" t="s">
        <v>122</v>
      </c>
      <c r="B6" s="8" t="s">
        <v>120</v>
      </c>
      <c r="C6" s="8" t="s">
        <v>526</v>
      </c>
      <c r="D6" s="8" t="s">
        <v>123</v>
      </c>
      <c r="E6" s="9" t="s">
        <v>538</v>
      </c>
      <c r="F6" s="8" t="s">
        <v>121</v>
      </c>
      <c r="G6" s="9"/>
      <c r="H6" s="11" t="s">
        <v>125</v>
      </c>
    </row>
    <row r="7" customFormat="false" ht="15" hidden="false" customHeight="false" outlineLevel="0" collapsed="false">
      <c r="A7" s="8" t="s">
        <v>244</v>
      </c>
      <c r="B7" s="8" t="s">
        <v>242</v>
      </c>
      <c r="C7" s="8" t="s">
        <v>539</v>
      </c>
      <c r="D7" s="8" t="s">
        <v>245</v>
      </c>
      <c r="E7" s="9" t="s">
        <v>535</v>
      </c>
      <c r="F7" s="8" t="s">
        <v>243</v>
      </c>
      <c r="G7" s="9" t="s">
        <v>540</v>
      </c>
      <c r="H7" s="11" t="s">
        <v>247</v>
      </c>
    </row>
    <row r="8" customFormat="false" ht="15" hidden="false" customHeight="false" outlineLevel="0" collapsed="false">
      <c r="A8" s="8" t="s">
        <v>250</v>
      </c>
      <c r="B8" s="8" t="s">
        <v>248</v>
      </c>
      <c r="C8" s="8" t="s">
        <v>539</v>
      </c>
      <c r="D8" s="8" t="s">
        <v>123</v>
      </c>
      <c r="E8" s="9" t="s">
        <v>541</v>
      </c>
      <c r="F8" s="8" t="s">
        <v>249</v>
      </c>
      <c r="G8" s="9"/>
      <c r="H8" s="11" t="s">
        <v>252</v>
      </c>
    </row>
    <row r="9" customFormat="false" ht="23.85" hidden="false" customHeight="false" outlineLevel="0" collapsed="false">
      <c r="A9" s="8" t="s">
        <v>256</v>
      </c>
      <c r="B9" s="8" t="s">
        <v>253</v>
      </c>
      <c r="C9" s="8" t="s">
        <v>539</v>
      </c>
      <c r="D9" s="8" t="s">
        <v>123</v>
      </c>
      <c r="E9" s="9" t="s">
        <v>542</v>
      </c>
      <c r="F9" s="8" t="s">
        <v>254</v>
      </c>
      <c r="G9" s="9" t="s">
        <v>543</v>
      </c>
      <c r="H9" s="11" t="s">
        <v>258</v>
      </c>
    </row>
    <row r="10" customFormat="false" ht="15" hidden="false" customHeight="false" outlineLevel="0" collapsed="false">
      <c r="A10" s="8" t="s">
        <v>262</v>
      </c>
      <c r="B10" s="8" t="s">
        <v>259</v>
      </c>
      <c r="C10" s="8" t="s">
        <v>539</v>
      </c>
      <c r="D10" s="8" t="s">
        <v>123</v>
      </c>
      <c r="E10" s="9" t="s">
        <v>544</v>
      </c>
      <c r="F10" s="8" t="s">
        <v>260</v>
      </c>
      <c r="G10" s="9"/>
      <c r="H10" s="11" t="s">
        <v>264</v>
      </c>
    </row>
    <row r="11" customFormat="false" ht="15" hidden="false" customHeight="false" outlineLevel="0" collapsed="false">
      <c r="A11" s="8" t="s">
        <v>280</v>
      </c>
      <c r="B11" s="8" t="s">
        <v>277</v>
      </c>
      <c r="C11" s="8" t="s">
        <v>539</v>
      </c>
      <c r="D11" s="8" t="s">
        <v>268</v>
      </c>
      <c r="E11" s="9" t="s">
        <v>545</v>
      </c>
      <c r="F11" s="8" t="s">
        <v>278</v>
      </c>
      <c r="G11" s="9" t="s">
        <v>546</v>
      </c>
      <c r="H11" s="11" t="s">
        <v>282</v>
      </c>
    </row>
    <row r="12" customFormat="false" ht="15" hidden="false" customHeight="false" outlineLevel="0" collapsed="false">
      <c r="A12" s="8" t="s">
        <v>267</v>
      </c>
      <c r="B12" s="8" t="s">
        <v>265</v>
      </c>
      <c r="C12" s="8" t="s">
        <v>539</v>
      </c>
      <c r="D12" s="8" t="s">
        <v>268</v>
      </c>
      <c r="E12" s="9" t="s">
        <v>547</v>
      </c>
      <c r="F12" s="8" t="s">
        <v>266</v>
      </c>
      <c r="G12" s="9" t="s">
        <v>548</v>
      </c>
      <c r="H12" s="11" t="s">
        <v>270</v>
      </c>
    </row>
    <row r="13" customFormat="false" ht="15" hidden="false" customHeight="false" outlineLevel="0" collapsed="false">
      <c r="A13" s="8" t="s">
        <v>274</v>
      </c>
      <c r="B13" s="8" t="s">
        <v>271</v>
      </c>
      <c r="C13" s="8" t="s">
        <v>539</v>
      </c>
      <c r="D13" s="8" t="s">
        <v>268</v>
      </c>
      <c r="E13" s="9" t="s">
        <v>547</v>
      </c>
      <c r="F13" s="8" t="s">
        <v>272</v>
      </c>
      <c r="G13" s="9" t="s">
        <v>549</v>
      </c>
      <c r="H13" s="11" t="s">
        <v>276</v>
      </c>
    </row>
    <row r="14" customFormat="false" ht="15" hidden="false" customHeight="false" outlineLevel="0" collapsed="false">
      <c r="A14" s="8" t="s">
        <v>286</v>
      </c>
      <c r="B14" s="8" t="s">
        <v>283</v>
      </c>
      <c r="C14" s="8" t="s">
        <v>550</v>
      </c>
      <c r="D14" s="8" t="s">
        <v>268</v>
      </c>
      <c r="E14" s="9" t="s">
        <v>551</v>
      </c>
      <c r="F14" s="8" t="s">
        <v>284</v>
      </c>
      <c r="G14" s="9" t="s">
        <v>552</v>
      </c>
      <c r="H14" s="11" t="s">
        <v>288</v>
      </c>
    </row>
    <row r="15" customFormat="false" ht="15" hidden="false" customHeight="false" outlineLevel="0" collapsed="false">
      <c r="A15" s="8" t="s">
        <v>292</v>
      </c>
      <c r="B15" s="8" t="s">
        <v>289</v>
      </c>
      <c r="C15" s="8" t="s">
        <v>553</v>
      </c>
      <c r="D15" s="8" t="s">
        <v>268</v>
      </c>
      <c r="E15" s="9" t="s">
        <v>554</v>
      </c>
      <c r="F15" s="8" t="s">
        <v>290</v>
      </c>
      <c r="G15" s="9" t="s">
        <v>555</v>
      </c>
      <c r="H15" s="11" t="s">
        <v>295</v>
      </c>
    </row>
    <row r="16" customFormat="false" ht="15" hidden="false" customHeight="false" outlineLevel="0" collapsed="false">
      <c r="A16" s="8" t="s">
        <v>298</v>
      </c>
      <c r="B16" s="8" t="s">
        <v>296</v>
      </c>
      <c r="C16" s="8" t="s">
        <v>553</v>
      </c>
      <c r="D16" s="8" t="s">
        <v>268</v>
      </c>
      <c r="E16" s="9" t="s">
        <v>554</v>
      </c>
      <c r="F16" s="8" t="s">
        <v>297</v>
      </c>
      <c r="G16" s="9" t="s">
        <v>555</v>
      </c>
      <c r="H16" s="11" t="s">
        <v>300</v>
      </c>
    </row>
    <row r="17" customFormat="false" ht="15" hidden="false" customHeight="false" outlineLevel="0" collapsed="false">
      <c r="A17" s="8" t="s">
        <v>303</v>
      </c>
      <c r="B17" s="8" t="s">
        <v>301</v>
      </c>
      <c r="C17" s="8" t="s">
        <v>553</v>
      </c>
      <c r="D17" s="8" t="s">
        <v>268</v>
      </c>
      <c r="E17" s="9" t="s">
        <v>554</v>
      </c>
      <c r="F17" s="8" t="s">
        <v>302</v>
      </c>
      <c r="G17" s="9" t="s">
        <v>555</v>
      </c>
      <c r="H17" s="11" t="s">
        <v>305</v>
      </c>
    </row>
    <row r="18" customFormat="false" ht="15" hidden="false" customHeight="false" outlineLevel="0" collapsed="false">
      <c r="A18" s="8" t="s">
        <v>309</v>
      </c>
      <c r="B18" s="8" t="s">
        <v>556</v>
      </c>
      <c r="C18" s="8" t="s">
        <v>557</v>
      </c>
      <c r="D18" s="8" t="s">
        <v>123</v>
      </c>
      <c r="E18" s="9" t="s">
        <v>558</v>
      </c>
      <c r="F18" s="8" t="s">
        <v>307</v>
      </c>
      <c r="G18" s="9" t="s">
        <v>559</v>
      </c>
      <c r="H18" s="11" t="s">
        <v>311</v>
      </c>
    </row>
    <row r="19" customFormat="false" ht="15" hidden="false" customHeight="false" outlineLevel="0" collapsed="false">
      <c r="A19" s="8" t="s">
        <v>314</v>
      </c>
      <c r="B19" s="8" t="s">
        <v>560</v>
      </c>
      <c r="C19" s="8" t="s">
        <v>557</v>
      </c>
      <c r="D19" s="8" t="s">
        <v>123</v>
      </c>
      <c r="E19" s="9" t="s">
        <v>561</v>
      </c>
      <c r="F19" s="8" t="s">
        <v>313</v>
      </c>
      <c r="G19" s="9"/>
      <c r="H19" s="11" t="s">
        <v>316</v>
      </c>
    </row>
    <row r="20" customFormat="false" ht="15" hidden="false" customHeight="false" outlineLevel="0" collapsed="false">
      <c r="A20" s="8" t="s">
        <v>319</v>
      </c>
      <c r="B20" s="8" t="s">
        <v>562</v>
      </c>
      <c r="C20" s="8" t="s">
        <v>557</v>
      </c>
      <c r="D20" s="8" t="s">
        <v>123</v>
      </c>
      <c r="E20" s="9" t="s">
        <v>563</v>
      </c>
      <c r="F20" s="8" t="s">
        <v>318</v>
      </c>
      <c r="G20" s="9"/>
      <c r="H20" s="11" t="s">
        <v>321</v>
      </c>
    </row>
    <row r="21" customFormat="false" ht="15" hidden="false" customHeight="false" outlineLevel="0" collapsed="false">
      <c r="A21" s="8" t="s">
        <v>324</v>
      </c>
      <c r="B21" s="8" t="s">
        <v>564</v>
      </c>
      <c r="C21" s="8" t="s">
        <v>557</v>
      </c>
      <c r="D21" s="8" t="s">
        <v>123</v>
      </c>
      <c r="E21" s="9" t="s">
        <v>565</v>
      </c>
      <c r="F21" s="8" t="s">
        <v>323</v>
      </c>
      <c r="G21" s="9"/>
      <c r="H21" s="11" t="s">
        <v>326</v>
      </c>
    </row>
    <row r="22" customFormat="false" ht="15" hidden="false" customHeight="false" outlineLevel="0" collapsed="false">
      <c r="A22" s="8" t="s">
        <v>329</v>
      </c>
      <c r="B22" s="8" t="s">
        <v>566</v>
      </c>
      <c r="C22" s="8" t="s">
        <v>557</v>
      </c>
      <c r="D22" s="8" t="s">
        <v>123</v>
      </c>
      <c r="E22" s="9" t="s">
        <v>565</v>
      </c>
      <c r="F22" s="8" t="s">
        <v>328</v>
      </c>
      <c r="G22" s="9" t="s">
        <v>567</v>
      </c>
      <c r="H22" s="11" t="s">
        <v>331</v>
      </c>
    </row>
    <row r="23" customFormat="false" ht="15" hidden="false" customHeight="false" outlineLevel="0" collapsed="false">
      <c r="A23" s="8" t="s">
        <v>334</v>
      </c>
      <c r="B23" s="8" t="s">
        <v>332</v>
      </c>
      <c r="C23" s="8" t="s">
        <v>568</v>
      </c>
      <c r="D23" s="8" t="s">
        <v>123</v>
      </c>
      <c r="E23" s="9" t="s">
        <v>569</v>
      </c>
      <c r="F23" s="8" t="s">
        <v>333</v>
      </c>
      <c r="G23" s="9" t="s">
        <v>570</v>
      </c>
      <c r="H23" s="11" t="s">
        <v>336</v>
      </c>
    </row>
    <row r="24" customFormat="false" ht="15" hidden="false" customHeight="false" outlineLevel="0" collapsed="false">
      <c r="A24" s="8" t="s">
        <v>340</v>
      </c>
      <c r="B24" s="8" t="s">
        <v>337</v>
      </c>
      <c r="C24" s="8" t="s">
        <v>568</v>
      </c>
      <c r="D24" s="8" t="s">
        <v>245</v>
      </c>
      <c r="E24" s="9" t="s">
        <v>571</v>
      </c>
      <c r="F24" s="8" t="s">
        <v>338</v>
      </c>
      <c r="G24" s="9" t="s">
        <v>572</v>
      </c>
      <c r="H24" s="11" t="s">
        <v>342</v>
      </c>
    </row>
  </sheetData>
  <hyperlinks>
    <hyperlink ref="H2" r:id="rId1" display="https://apps.naaccr.org/data-dictionary/data-dictionary/version=25/data-item-view/item-number=160/"/>
    <hyperlink ref="H3" r:id="rId2" display="https://apps.naaccr.org/data-dictionary/data-dictionary/version=25/data-item-view/item-number=190/"/>
    <hyperlink ref="H4" r:id="rId3" display="https://apps.naaccr.org/data-dictionary/data-dictionary/version=25/data-item-view/item-number=220/"/>
    <hyperlink ref="H5" r:id="rId4" display="https://apps.naaccr.org/data-dictionary/data-dictionary/version=25/data-item-view/item-number=230/"/>
    <hyperlink ref="H6" r:id="rId5" display="https://apps.naaccr.org/data-dictionary/data-dictionary/version=25/data-item-view/item-number=240/"/>
    <hyperlink ref="H7" r:id="rId6" display="https://apps.naaccr.org/data-dictionary/data-dictionary/version=25/data-item-view/item-number=380/"/>
    <hyperlink ref="H8" r:id="rId7" display="https://apps.naaccr.org/data-dictionary/data-dictionary/version=25/data-item-view/item-number=390/"/>
    <hyperlink ref="H9" r:id="rId8" display="https://apps.naaccr.org/data-dictionary/data-dictionary/version=25/data-item-view/item-number=400/"/>
    <hyperlink ref="H10" r:id="rId9" display="https://apps.naaccr.org/data-dictionary/data-dictionary/version=25/data-item-view/item-number=410/"/>
    <hyperlink ref="H11" r:id="rId10" display="https://apps.naaccr.org/data-dictionary/data-dictionary/version=25/data-item-view/item-number=490/"/>
    <hyperlink ref="H12" r:id="rId11" display="https://apps.naaccr.org/data-dictionary/data-dictionary/version=25/data-item-view/item-number=522/"/>
    <hyperlink ref="H13" r:id="rId12" display="https://apps.naaccr.org/data-dictionary/data-dictionary/version=25/data-item-view/item-number=523/"/>
    <hyperlink ref="H14" r:id="rId13" display="https://apps.naaccr.org/data-dictionary/data-dictionary/version=25/data-item-view/item-number=764/"/>
    <hyperlink ref="H15" r:id="rId14" display="https://apps.naaccr.org/data-dictionary/data-dictionary/version=25/data-item-view/item-number=3827/"/>
    <hyperlink ref="H16" r:id="rId15" display="https://apps.naaccr.org/data-dictionary/data-dictionary/version=25/data-item-view/item-number=3915/"/>
    <hyperlink ref="H17" r:id="rId16" display="https://apps.naaccr.org/data-dictionary/data-dictionary/version=25/data-item-view/item-number=3855/"/>
    <hyperlink ref="H18" r:id="rId17" display="https://apps.naaccr.org/data-dictionary/data-dictionary/version=25/data-item-view/item-number=1290/"/>
    <hyperlink ref="H19" r:id="rId18" display="https://apps.naaccr.org/data-dictionary/data-dictionary/version=25/data-item-view/item-number=1360/"/>
    <hyperlink ref="H20" r:id="rId19" display="https://apps.naaccr.org/data-dictionary/data-dictionary/version=25/data-item-view/item-number=1390/"/>
    <hyperlink ref="H21" r:id="rId20" display="https://apps.naaccr.org/data-dictionary/data-dictionary/version=25/data-item-view/item-number=1400/"/>
    <hyperlink ref="H22" r:id="rId21" display="https://apps.naaccr.org/data-dictionary/data-dictionary/version=25/data-item-view/item-number=1410/"/>
    <hyperlink ref="H23" r:id="rId22" display="https://apps.naaccr.org/data-dictionary/data-dictionary/version=25/data-item-view/item-number=1750/"/>
    <hyperlink ref="H24" r:id="rId23" display="https://apps.naaccr.org/data-dictionary/data-dictionary/version=25/data-item-view/item-number=1760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573</v>
      </c>
    </row>
    <row r="2" customFormat="false" ht="15" hidden="false" customHeight="false" outlineLevel="0" collapsed="false">
      <c r="A2" s="12" t="s">
        <v>574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7" t="s">
        <v>575</v>
      </c>
      <c r="B4" s="7" t="s">
        <v>576</v>
      </c>
      <c r="C4" s="7" t="s">
        <v>101</v>
      </c>
      <c r="D4" s="7" t="s">
        <v>102</v>
      </c>
      <c r="E4" s="7" t="s">
        <v>577</v>
      </c>
      <c r="F4" s="7" t="s">
        <v>108</v>
      </c>
      <c r="G4" s="7" t="s">
        <v>111</v>
      </c>
    </row>
    <row r="5" customFormat="false" ht="15" hidden="false" customHeight="false" outlineLevel="0" collapsed="false">
      <c r="A5" s="8" t="s">
        <v>578</v>
      </c>
      <c r="B5" s="9" t="s">
        <v>114</v>
      </c>
      <c r="C5" s="8" t="s">
        <v>115</v>
      </c>
      <c r="D5" s="8" t="s">
        <v>116</v>
      </c>
      <c r="E5" s="9"/>
      <c r="F5" s="8" t="s">
        <v>118</v>
      </c>
      <c r="G5" s="10" t="s">
        <v>53</v>
      </c>
    </row>
    <row r="6" customFormat="false" ht="15" hidden="false" customHeight="false" outlineLevel="0" collapsed="false">
      <c r="A6" s="8" t="s">
        <v>113</v>
      </c>
      <c r="B6" s="9" t="s">
        <v>120</v>
      </c>
      <c r="C6" s="8" t="s">
        <v>121</v>
      </c>
      <c r="D6" s="8" t="s">
        <v>116</v>
      </c>
      <c r="E6" s="9"/>
      <c r="F6" s="8" t="s">
        <v>123</v>
      </c>
      <c r="G6" s="10" t="s">
        <v>53</v>
      </c>
    </row>
    <row r="7" customFormat="false" ht="15" hidden="false" customHeight="false" outlineLevel="0" collapsed="false">
      <c r="A7" s="8" t="s">
        <v>113</v>
      </c>
      <c r="B7" s="9" t="s">
        <v>126</v>
      </c>
      <c r="C7" s="8" t="s">
        <v>127</v>
      </c>
      <c r="D7" s="8" t="s">
        <v>128</v>
      </c>
      <c r="E7" s="9"/>
      <c r="F7" s="8" t="s">
        <v>123</v>
      </c>
      <c r="G7" s="10" t="s">
        <v>53</v>
      </c>
    </row>
    <row r="8" customFormat="false" ht="15" hidden="false" customHeight="false" outlineLevel="0" collapsed="false">
      <c r="A8" s="8" t="s">
        <v>113</v>
      </c>
      <c r="B8" s="9" t="s">
        <v>133</v>
      </c>
      <c r="C8" s="8" t="s">
        <v>134</v>
      </c>
      <c r="D8" s="8" t="s">
        <v>135</v>
      </c>
      <c r="E8" s="9"/>
      <c r="F8" s="8" t="s">
        <v>118</v>
      </c>
      <c r="G8" s="10" t="s">
        <v>53</v>
      </c>
    </row>
    <row r="9" customFormat="false" ht="15" hidden="false" customHeight="false" outlineLevel="0" collapsed="false">
      <c r="A9" s="8" t="s">
        <v>113</v>
      </c>
      <c r="B9" s="9" t="s">
        <v>579</v>
      </c>
      <c r="C9" s="8" t="s">
        <v>139</v>
      </c>
      <c r="D9" s="8" t="s">
        <v>140</v>
      </c>
      <c r="E9" s="9"/>
      <c r="F9" s="8" t="s">
        <v>123</v>
      </c>
      <c r="G9" s="10" t="s">
        <v>53</v>
      </c>
    </row>
    <row r="10" customFormat="false" ht="15" hidden="false" customHeight="false" outlineLevel="0" collapsed="false">
      <c r="A10" s="8" t="s">
        <v>113</v>
      </c>
      <c r="B10" s="9" t="s">
        <v>145</v>
      </c>
      <c r="C10" s="8" t="s">
        <v>146</v>
      </c>
      <c r="D10" s="8" t="s">
        <v>128</v>
      </c>
      <c r="E10" s="9"/>
      <c r="F10" s="8" t="s">
        <v>123</v>
      </c>
      <c r="G10" s="10" t="s">
        <v>53</v>
      </c>
    </row>
    <row r="11" customFormat="false" ht="15" hidden="false" customHeight="false" outlineLevel="0" collapsed="false">
      <c r="A11" s="8" t="s">
        <v>113</v>
      </c>
      <c r="B11" s="9" t="s">
        <v>580</v>
      </c>
      <c r="C11" s="8" t="s">
        <v>155</v>
      </c>
      <c r="D11" s="8" t="s">
        <v>135</v>
      </c>
      <c r="E11" s="9"/>
      <c r="F11" s="8" t="s">
        <v>118</v>
      </c>
      <c r="G11" s="10" t="s">
        <v>53</v>
      </c>
    </row>
    <row r="12" customFormat="false" ht="15" hidden="false" customHeight="false" outlineLevel="0" collapsed="false">
      <c r="A12" s="8" t="s">
        <v>444</v>
      </c>
      <c r="B12" s="9" t="s">
        <v>248</v>
      </c>
      <c r="C12" s="8" t="s">
        <v>249</v>
      </c>
      <c r="D12" s="8" t="s">
        <v>116</v>
      </c>
      <c r="E12" s="9"/>
      <c r="F12" s="8" t="s">
        <v>123</v>
      </c>
      <c r="G12" s="10" t="s">
        <v>53</v>
      </c>
    </row>
    <row r="13" customFormat="false" ht="15" hidden="false" customHeight="false" outlineLevel="0" collapsed="false">
      <c r="A13" s="8" t="s">
        <v>444</v>
      </c>
      <c r="B13" s="9" t="s">
        <v>253</v>
      </c>
      <c r="C13" s="8" t="s">
        <v>254</v>
      </c>
      <c r="D13" s="8" t="s">
        <v>135</v>
      </c>
      <c r="E13" s="9"/>
      <c r="F13" s="8" t="s">
        <v>123</v>
      </c>
      <c r="G13" s="10" t="s">
        <v>53</v>
      </c>
    </row>
    <row r="14" customFormat="false" ht="15" hidden="false" customHeight="false" outlineLevel="0" collapsed="false">
      <c r="A14" s="8" t="s">
        <v>444</v>
      </c>
      <c r="B14" s="9" t="s">
        <v>259</v>
      </c>
      <c r="C14" s="8" t="s">
        <v>260</v>
      </c>
      <c r="D14" s="8" t="s">
        <v>135</v>
      </c>
      <c r="E14" s="9"/>
      <c r="F14" s="8" t="s">
        <v>123</v>
      </c>
      <c r="G14" s="10" t="s">
        <v>53</v>
      </c>
    </row>
    <row r="15" customFormat="false" ht="15" hidden="false" customHeight="false" outlineLevel="0" collapsed="false">
      <c r="A15" s="8" t="s">
        <v>444</v>
      </c>
      <c r="B15" s="9" t="s">
        <v>265</v>
      </c>
      <c r="C15" s="8" t="s">
        <v>266</v>
      </c>
      <c r="D15" s="8" t="s">
        <v>116</v>
      </c>
      <c r="E15" s="9"/>
      <c r="F15" s="8" t="s">
        <v>268</v>
      </c>
      <c r="G15" s="10" t="s">
        <v>53</v>
      </c>
    </row>
    <row r="16" customFormat="false" ht="15" hidden="false" customHeight="false" outlineLevel="0" collapsed="false">
      <c r="A16" s="8" t="s">
        <v>444</v>
      </c>
      <c r="B16" s="9" t="s">
        <v>271</v>
      </c>
      <c r="C16" s="8" t="s">
        <v>272</v>
      </c>
      <c r="D16" s="8" t="s">
        <v>135</v>
      </c>
      <c r="E16" s="9"/>
      <c r="F16" s="8" t="s">
        <v>268</v>
      </c>
      <c r="G16" s="10" t="s">
        <v>53</v>
      </c>
    </row>
    <row r="17" customFormat="false" ht="15" hidden="false" customHeight="false" outlineLevel="0" collapsed="false">
      <c r="A17" s="8" t="s">
        <v>444</v>
      </c>
      <c r="B17" s="9" t="s">
        <v>277</v>
      </c>
      <c r="C17" s="8" t="s">
        <v>278</v>
      </c>
      <c r="D17" s="8" t="s">
        <v>135</v>
      </c>
      <c r="E17" s="9"/>
      <c r="F17" s="8" t="s">
        <v>268</v>
      </c>
      <c r="G17" s="10" t="s">
        <v>53</v>
      </c>
    </row>
    <row r="18" customFormat="false" ht="15" hidden="false" customHeight="false" outlineLevel="0" collapsed="false">
      <c r="A18" s="8" t="s">
        <v>444</v>
      </c>
      <c r="B18" s="9" t="s">
        <v>445</v>
      </c>
      <c r="C18" s="8" t="s">
        <v>446</v>
      </c>
      <c r="D18" s="8" t="s">
        <v>308</v>
      </c>
      <c r="E18" s="9"/>
      <c r="F18" s="8" t="s">
        <v>118</v>
      </c>
      <c r="G18" s="10" t="s">
        <v>53</v>
      </c>
    </row>
    <row r="19" customFormat="false" ht="15" hidden="false" customHeight="false" outlineLevel="0" collapsed="false">
      <c r="A19" s="8" t="s">
        <v>581</v>
      </c>
      <c r="B19" s="9" t="s">
        <v>283</v>
      </c>
      <c r="C19" s="8" t="s">
        <v>284</v>
      </c>
      <c r="D19" s="8" t="s">
        <v>135</v>
      </c>
      <c r="E19" s="9"/>
      <c r="F19" s="8" t="s">
        <v>268</v>
      </c>
      <c r="G19" s="10" t="s">
        <v>53</v>
      </c>
    </row>
    <row r="20" customFormat="false" ht="15" hidden="false" customHeight="false" outlineLevel="0" collapsed="false">
      <c r="A20" s="8" t="s">
        <v>581</v>
      </c>
      <c r="B20" s="9" t="s">
        <v>289</v>
      </c>
      <c r="C20" s="8" t="s">
        <v>290</v>
      </c>
      <c r="D20" s="8" t="s">
        <v>135</v>
      </c>
      <c r="E20" s="9"/>
      <c r="F20" s="8" t="s">
        <v>268</v>
      </c>
      <c r="G20" s="10" t="s">
        <v>53</v>
      </c>
    </row>
    <row r="21" customFormat="false" ht="15" hidden="false" customHeight="false" outlineLevel="0" collapsed="false">
      <c r="A21" s="8" t="s">
        <v>581</v>
      </c>
      <c r="B21" s="9" t="s">
        <v>296</v>
      </c>
      <c r="C21" s="8" t="s">
        <v>297</v>
      </c>
      <c r="D21" s="8" t="s">
        <v>135</v>
      </c>
      <c r="E21" s="9"/>
      <c r="F21" s="8" t="s">
        <v>268</v>
      </c>
      <c r="G21" s="10" t="s">
        <v>53</v>
      </c>
    </row>
    <row r="22" customFormat="false" ht="15" hidden="false" customHeight="false" outlineLevel="0" collapsed="false">
      <c r="A22" s="8" t="s">
        <v>581</v>
      </c>
      <c r="B22" s="9" t="s">
        <v>301</v>
      </c>
      <c r="C22" s="8" t="s">
        <v>302</v>
      </c>
      <c r="D22" s="8" t="s">
        <v>135</v>
      </c>
      <c r="E22" s="9"/>
      <c r="F22" s="8" t="s">
        <v>268</v>
      </c>
      <c r="G22" s="10" t="s">
        <v>53</v>
      </c>
    </row>
    <row r="23" customFormat="false" ht="15" hidden="false" customHeight="false" outlineLevel="0" collapsed="false">
      <c r="A23" s="8" t="s">
        <v>582</v>
      </c>
      <c r="B23" s="9" t="s">
        <v>306</v>
      </c>
      <c r="C23" s="8" t="s">
        <v>307</v>
      </c>
      <c r="D23" s="8" t="s">
        <v>308</v>
      </c>
      <c r="E23" s="9"/>
      <c r="F23" s="8" t="s">
        <v>123</v>
      </c>
      <c r="G23" s="10" t="s">
        <v>53</v>
      </c>
    </row>
    <row r="24" customFormat="false" ht="15" hidden="false" customHeight="false" outlineLevel="0" collapsed="false">
      <c r="A24" s="8" t="s">
        <v>582</v>
      </c>
      <c r="B24" s="9" t="s">
        <v>312</v>
      </c>
      <c r="C24" s="8" t="s">
        <v>313</v>
      </c>
      <c r="D24" s="8" t="s">
        <v>308</v>
      </c>
      <c r="E24" s="9"/>
      <c r="F24" s="8" t="s">
        <v>123</v>
      </c>
      <c r="G24" s="10" t="s">
        <v>53</v>
      </c>
    </row>
    <row r="25" customFormat="false" ht="15" hidden="false" customHeight="false" outlineLevel="0" collapsed="false">
      <c r="A25" s="8" t="s">
        <v>582</v>
      </c>
      <c r="B25" s="9" t="s">
        <v>317</v>
      </c>
      <c r="C25" s="8" t="s">
        <v>318</v>
      </c>
      <c r="D25" s="8" t="s">
        <v>308</v>
      </c>
      <c r="E25" s="9"/>
      <c r="F25" s="8" t="s">
        <v>123</v>
      </c>
      <c r="G25" s="10" t="s">
        <v>53</v>
      </c>
    </row>
    <row r="26" customFormat="false" ht="15" hidden="false" customHeight="false" outlineLevel="0" collapsed="false">
      <c r="A26" s="8" t="s">
        <v>582</v>
      </c>
      <c r="B26" s="9" t="s">
        <v>322</v>
      </c>
      <c r="C26" s="8" t="s">
        <v>323</v>
      </c>
      <c r="D26" s="8" t="s">
        <v>308</v>
      </c>
      <c r="E26" s="9"/>
      <c r="F26" s="8" t="s">
        <v>123</v>
      </c>
      <c r="G26" s="10" t="s">
        <v>53</v>
      </c>
    </row>
    <row r="27" customFormat="false" ht="15" hidden="false" customHeight="false" outlineLevel="0" collapsed="false">
      <c r="A27" s="8" t="s">
        <v>582</v>
      </c>
      <c r="B27" s="9" t="s">
        <v>583</v>
      </c>
      <c r="C27" s="8" t="s">
        <v>328</v>
      </c>
      <c r="D27" s="8" t="s">
        <v>308</v>
      </c>
      <c r="E27" s="9"/>
      <c r="F27" s="8" t="s">
        <v>123</v>
      </c>
      <c r="G27" s="10" t="s">
        <v>53</v>
      </c>
    </row>
    <row r="28" customFormat="false" ht="15" hidden="false" customHeight="false" outlineLevel="0" collapsed="false">
      <c r="A28" s="8" t="s">
        <v>584</v>
      </c>
      <c r="B28" s="9" t="s">
        <v>332</v>
      </c>
      <c r="C28" s="8" t="s">
        <v>333</v>
      </c>
      <c r="D28" s="8" t="s">
        <v>116</v>
      </c>
      <c r="E28" s="9"/>
      <c r="F28" s="8" t="s">
        <v>123</v>
      </c>
      <c r="G28" s="10" t="s">
        <v>53</v>
      </c>
    </row>
    <row r="29" customFormat="false" ht="15" hidden="false" customHeight="false" outlineLevel="0" collapsed="false">
      <c r="A29" s="8" t="s">
        <v>584</v>
      </c>
      <c r="B29" s="9" t="s">
        <v>337</v>
      </c>
      <c r="C29" s="8" t="s">
        <v>338</v>
      </c>
      <c r="D29" s="8" t="s">
        <v>135</v>
      </c>
      <c r="E29" s="9"/>
      <c r="F29" s="8" t="s">
        <v>245</v>
      </c>
      <c r="G29" s="10" t="s">
        <v>53</v>
      </c>
    </row>
    <row r="30" customFormat="false" ht="15" hidden="false" customHeight="false" outlineLevel="0" collapsed="false">
      <c r="A30" s="8" t="s">
        <v>343</v>
      </c>
      <c r="B30" s="9" t="s">
        <v>585</v>
      </c>
      <c r="C30" s="8" t="s">
        <v>345</v>
      </c>
      <c r="D30" s="8" t="s">
        <v>128</v>
      </c>
      <c r="E30" s="9"/>
      <c r="F30" s="8" t="s">
        <v>118</v>
      </c>
      <c r="G30" s="10" t="s">
        <v>53</v>
      </c>
    </row>
    <row r="31" customFormat="false" ht="15" hidden="false" customHeight="false" outlineLevel="0" collapsed="false">
      <c r="A31" s="8" t="s">
        <v>343</v>
      </c>
      <c r="B31" s="9" t="s">
        <v>586</v>
      </c>
      <c r="C31" s="8" t="s">
        <v>348</v>
      </c>
      <c r="D31" s="8" t="s">
        <v>128</v>
      </c>
      <c r="E31" s="9"/>
      <c r="F31" s="8" t="s">
        <v>118</v>
      </c>
      <c r="G31" s="10" t="s">
        <v>53</v>
      </c>
    </row>
    <row r="32" customFormat="false" ht="15" hidden="false" customHeight="false" outlineLevel="0" collapsed="false">
      <c r="A32" s="8" t="s">
        <v>343</v>
      </c>
      <c r="B32" s="9" t="s">
        <v>587</v>
      </c>
      <c r="C32" s="8" t="s">
        <v>351</v>
      </c>
      <c r="D32" s="8" t="s">
        <v>128</v>
      </c>
      <c r="E32" s="9"/>
      <c r="F32" s="8" t="s">
        <v>118</v>
      </c>
      <c r="G32" s="10" t="s">
        <v>53</v>
      </c>
    </row>
    <row r="33" customFormat="false" ht="15" hidden="false" customHeight="false" outlineLevel="0" collapsed="false">
      <c r="A33" s="8" t="s">
        <v>453</v>
      </c>
      <c r="B33" s="9" t="s">
        <v>454</v>
      </c>
      <c r="C33" s="8" t="s">
        <v>455</v>
      </c>
      <c r="D33" s="8" t="s">
        <v>135</v>
      </c>
      <c r="E33" s="9"/>
      <c r="F33" s="8" t="s">
        <v>118</v>
      </c>
      <c r="G33" s="10" t="s">
        <v>53</v>
      </c>
    </row>
    <row r="34" customFormat="false" ht="15" hidden="false" customHeight="false" outlineLevel="0" collapsed="false">
      <c r="A34" s="8" t="s">
        <v>453</v>
      </c>
      <c r="B34" s="9" t="s">
        <v>457</v>
      </c>
      <c r="C34" s="8" t="s">
        <v>458</v>
      </c>
      <c r="D34" s="8" t="s">
        <v>116</v>
      </c>
      <c r="E34" s="9"/>
      <c r="F34" s="8" t="s">
        <v>118</v>
      </c>
      <c r="G34" s="10" t="s">
        <v>53</v>
      </c>
    </row>
    <row r="35" customFormat="false" ht="15" hidden="false" customHeight="false" outlineLevel="0" collapsed="false">
      <c r="A35" s="8" t="s">
        <v>453</v>
      </c>
      <c r="B35" s="9" t="s">
        <v>459</v>
      </c>
      <c r="C35" s="8" t="s">
        <v>460</v>
      </c>
      <c r="D35" s="8" t="s">
        <v>135</v>
      </c>
      <c r="E35" s="9"/>
      <c r="F35" s="8" t="s">
        <v>118</v>
      </c>
      <c r="G35" s="10" t="s">
        <v>53</v>
      </c>
    </row>
    <row r="36" customFormat="false" ht="15" hidden="false" customHeight="false" outlineLevel="0" collapsed="false">
      <c r="A36" s="8" t="s">
        <v>464</v>
      </c>
      <c r="B36" s="9" t="s">
        <v>465</v>
      </c>
      <c r="C36" s="8" t="s">
        <v>466</v>
      </c>
      <c r="D36" s="8" t="s">
        <v>308</v>
      </c>
      <c r="E36" s="9"/>
      <c r="F36" s="8" t="s">
        <v>118</v>
      </c>
      <c r="G36" s="10" t="s">
        <v>53</v>
      </c>
    </row>
    <row r="37" customFormat="false" ht="15" hidden="false" customHeight="false" outlineLevel="0" collapsed="false">
      <c r="A37" s="8" t="s">
        <v>464</v>
      </c>
      <c r="B37" s="9" t="s">
        <v>467</v>
      </c>
      <c r="C37" s="8" t="s">
        <v>468</v>
      </c>
      <c r="D37" s="8" t="s">
        <v>140</v>
      </c>
      <c r="E37" s="9"/>
      <c r="F37" s="8" t="s">
        <v>123</v>
      </c>
      <c r="G37" s="10" t="s">
        <v>53</v>
      </c>
    </row>
    <row r="38" customFormat="false" ht="15" hidden="false" customHeight="false" outlineLevel="0" collapsed="false">
      <c r="A38" s="8" t="s">
        <v>482</v>
      </c>
      <c r="B38" s="9" t="s">
        <v>483</v>
      </c>
      <c r="C38" s="8" t="s">
        <v>484</v>
      </c>
      <c r="D38" s="8" t="s">
        <v>128</v>
      </c>
      <c r="E38" s="9" t="s">
        <v>486</v>
      </c>
      <c r="F38" s="8" t="s">
        <v>118</v>
      </c>
      <c r="G38" s="10" t="s">
        <v>53</v>
      </c>
    </row>
    <row r="39" customFormat="false" ht="15" hidden="false" customHeight="false" outlineLevel="0" collapsed="false">
      <c r="A39" s="8" t="s">
        <v>482</v>
      </c>
      <c r="B39" s="9" t="s">
        <v>487</v>
      </c>
      <c r="C39" s="8" t="s">
        <v>488</v>
      </c>
      <c r="D39" s="8" t="s">
        <v>128</v>
      </c>
      <c r="E39" s="9" t="s">
        <v>486</v>
      </c>
      <c r="F39" s="8" t="s">
        <v>118</v>
      </c>
      <c r="G39" s="10" t="s">
        <v>53</v>
      </c>
    </row>
    <row r="40" customFormat="false" ht="15" hidden="false" customHeight="false" outlineLevel="0" collapsed="false">
      <c r="A40" s="8" t="s">
        <v>482</v>
      </c>
      <c r="B40" s="9" t="s">
        <v>490</v>
      </c>
      <c r="C40" s="8" t="s">
        <v>491</v>
      </c>
      <c r="D40" s="8" t="s">
        <v>128</v>
      </c>
      <c r="E40" s="9" t="s">
        <v>486</v>
      </c>
      <c r="F40" s="8" t="s">
        <v>118</v>
      </c>
      <c r="G40" s="10" t="s">
        <v>53</v>
      </c>
    </row>
    <row r="41" customFormat="false" ht="15" hidden="false" customHeight="false" outlineLevel="0" collapsed="false">
      <c r="A41" s="8" t="s">
        <v>482</v>
      </c>
      <c r="B41" s="9" t="s">
        <v>493</v>
      </c>
      <c r="C41" s="8" t="s">
        <v>494</v>
      </c>
      <c r="D41" s="8" t="s">
        <v>128</v>
      </c>
      <c r="E41" s="9" t="s">
        <v>486</v>
      </c>
      <c r="F41" s="8" t="s">
        <v>118</v>
      </c>
      <c r="G41" s="10" t="s">
        <v>53</v>
      </c>
    </row>
    <row r="42" customFormat="false" ht="23.85" hidden="false" customHeight="false" outlineLevel="0" collapsed="false">
      <c r="A42" s="8" t="s">
        <v>495</v>
      </c>
      <c r="B42" s="9" t="s">
        <v>496</v>
      </c>
      <c r="C42" s="8" t="s">
        <v>497</v>
      </c>
      <c r="D42" s="8" t="s">
        <v>116</v>
      </c>
      <c r="E42" s="9" t="s">
        <v>498</v>
      </c>
      <c r="F42" s="8" t="s">
        <v>123</v>
      </c>
      <c r="G42" s="10" t="s">
        <v>53</v>
      </c>
    </row>
    <row r="43" customFormat="false" ht="15" hidden="false" customHeight="false" outlineLevel="0" collapsed="false">
      <c r="A43" s="8" t="s">
        <v>495</v>
      </c>
      <c r="B43" s="9" t="s">
        <v>499</v>
      </c>
      <c r="C43" s="8" t="s">
        <v>500</v>
      </c>
      <c r="D43" s="8" t="s">
        <v>116</v>
      </c>
      <c r="E43" s="9" t="s">
        <v>501</v>
      </c>
      <c r="F43" s="8" t="s">
        <v>123</v>
      </c>
      <c r="G43" s="10" t="s">
        <v>53</v>
      </c>
    </row>
    <row r="44" customFormat="false" ht="15" hidden="false" customHeight="false" outlineLevel="0" collapsed="false">
      <c r="A44" s="8" t="s">
        <v>495</v>
      </c>
      <c r="B44" s="9" t="s">
        <v>375</v>
      </c>
      <c r="C44" s="8" t="s">
        <v>502</v>
      </c>
      <c r="D44" s="8" t="s">
        <v>116</v>
      </c>
      <c r="E44" s="9" t="s">
        <v>501</v>
      </c>
      <c r="F44" s="8" t="s">
        <v>123</v>
      </c>
      <c r="G44" s="10" t="s">
        <v>53</v>
      </c>
    </row>
    <row r="45" customFormat="false" ht="15" hidden="false" customHeight="false" outlineLevel="0" collapsed="false">
      <c r="A45" s="8" t="s">
        <v>495</v>
      </c>
      <c r="B45" s="9" t="s">
        <v>503</v>
      </c>
      <c r="C45" s="8" t="s">
        <v>504</v>
      </c>
      <c r="D45" s="8" t="s">
        <v>135</v>
      </c>
      <c r="E45" s="9" t="s">
        <v>501</v>
      </c>
      <c r="F45" s="8" t="s">
        <v>123</v>
      </c>
      <c r="G45" s="10" t="s">
        <v>53</v>
      </c>
    </row>
    <row r="46" customFormat="false" ht="15" hidden="false" customHeight="false" outlineLevel="0" collapsed="false">
      <c r="A46" s="8" t="s">
        <v>495</v>
      </c>
      <c r="B46" s="9" t="s">
        <v>506</v>
      </c>
      <c r="C46" s="8" t="s">
        <v>507</v>
      </c>
      <c r="D46" s="8" t="s">
        <v>116</v>
      </c>
      <c r="E46" s="9" t="s">
        <v>501</v>
      </c>
      <c r="F46" s="8" t="s">
        <v>123</v>
      </c>
      <c r="G46" s="10" t="s">
        <v>53</v>
      </c>
    </row>
    <row r="47" customFormat="false" ht="15" hidden="false" customHeight="false" outlineLevel="0" collapsed="false">
      <c r="A47" s="8" t="s">
        <v>495</v>
      </c>
      <c r="B47" s="9" t="s">
        <v>508</v>
      </c>
      <c r="C47" s="8" t="s">
        <v>509</v>
      </c>
      <c r="D47" s="8" t="s">
        <v>308</v>
      </c>
      <c r="E47" s="9" t="s">
        <v>501</v>
      </c>
      <c r="F47" s="8" t="s">
        <v>123</v>
      </c>
      <c r="G47" s="10" t="s">
        <v>53</v>
      </c>
    </row>
    <row r="48" customFormat="false" ht="23.85" hidden="false" customHeight="false" outlineLevel="0" collapsed="false">
      <c r="A48" s="8" t="s">
        <v>495</v>
      </c>
      <c r="B48" s="9" t="s">
        <v>510</v>
      </c>
      <c r="C48" s="8" t="s">
        <v>511</v>
      </c>
      <c r="D48" s="8" t="s">
        <v>308</v>
      </c>
      <c r="E48" s="9" t="s">
        <v>512</v>
      </c>
      <c r="F48" s="8" t="s">
        <v>123</v>
      </c>
      <c r="G48" s="10" t="s">
        <v>53</v>
      </c>
    </row>
    <row r="49" customFormat="false" ht="15" hidden="false" customHeight="false" outlineLevel="0" collapsed="false">
      <c r="A49" s="8" t="s">
        <v>495</v>
      </c>
      <c r="B49" s="9" t="s">
        <v>513</v>
      </c>
      <c r="C49" s="8" t="s">
        <v>514</v>
      </c>
      <c r="D49" s="8" t="s">
        <v>116</v>
      </c>
      <c r="E49" s="9" t="s">
        <v>515</v>
      </c>
      <c r="F49" s="8" t="s">
        <v>123</v>
      </c>
      <c r="G49" s="10" t="s">
        <v>53</v>
      </c>
    </row>
    <row r="50" customFormat="false" ht="15" hidden="false" customHeight="false" outlineLevel="0" collapsed="false">
      <c r="A50" s="8" t="s">
        <v>495</v>
      </c>
      <c r="B50" s="9" t="s">
        <v>516</v>
      </c>
      <c r="C50" s="8" t="s">
        <v>517</v>
      </c>
      <c r="D50" s="8" t="s">
        <v>116</v>
      </c>
      <c r="E50" s="9" t="s">
        <v>518</v>
      </c>
      <c r="F50" s="8" t="s">
        <v>123</v>
      </c>
      <c r="G50" s="10" t="s">
        <v>53</v>
      </c>
    </row>
    <row r="52" customFormat="false" ht="15" hidden="false" customHeight="false" outlineLevel="0" collapsed="false">
      <c r="A52" s="5" t="s">
        <v>588</v>
      </c>
    </row>
    <row r="53" customFormat="false" ht="15" hidden="false" customHeight="false" outlineLevel="0" collapsed="false">
      <c r="A53" s="7" t="s">
        <v>589</v>
      </c>
      <c r="B53" s="7" t="s">
        <v>590</v>
      </c>
      <c r="C53" s="7" t="s">
        <v>591</v>
      </c>
      <c r="D53" s="7" t="s">
        <v>111</v>
      </c>
    </row>
    <row r="54" customFormat="false" ht="23.85" hidden="false" customHeight="false" outlineLevel="0" collapsed="false">
      <c r="A54" s="8" t="s">
        <v>592</v>
      </c>
      <c r="B54" s="8" t="s">
        <v>593</v>
      </c>
      <c r="C54" s="9" t="s">
        <v>594</v>
      </c>
      <c r="D54" s="10" t="s">
        <v>64</v>
      </c>
    </row>
    <row r="55" customFormat="false" ht="15" hidden="false" customHeight="false" outlineLevel="0" collapsed="false">
      <c r="A55" s="8" t="s">
        <v>595</v>
      </c>
      <c r="B55" s="8" t="s">
        <v>596</v>
      </c>
      <c r="C55" s="9" t="s">
        <v>597</v>
      </c>
      <c r="D55" s="10" t="s">
        <v>64</v>
      </c>
    </row>
    <row r="56" customFormat="false" ht="15" hidden="false" customHeight="false" outlineLevel="0" collapsed="false">
      <c r="A56" s="8" t="s">
        <v>598</v>
      </c>
      <c r="B56" s="8" t="s">
        <v>599</v>
      </c>
      <c r="C56" s="9" t="s">
        <v>600</v>
      </c>
      <c r="D56" s="10" t="s">
        <v>64</v>
      </c>
    </row>
    <row r="57" customFormat="false" ht="15" hidden="false" customHeight="false" outlineLevel="0" collapsed="false">
      <c r="A57" s="8" t="s">
        <v>72</v>
      </c>
      <c r="B57" s="8" t="s">
        <v>601</v>
      </c>
      <c r="C57" s="9" t="s">
        <v>602</v>
      </c>
      <c r="D57" s="10" t="s">
        <v>73</v>
      </c>
    </row>
  </sheetData>
  <mergeCells count="1">
    <mergeCell ref="A2:F2"/>
  </mergeCells>
  <hyperlinks>
    <hyperlink ref="G5" r:id="rId1" display="https://cadsr.cancer.gov/"/>
    <hyperlink ref="G6" r:id="rId2" display="https://cadsr.cancer.gov/"/>
    <hyperlink ref="G7" r:id="rId3" display="https://cadsr.cancer.gov/"/>
    <hyperlink ref="G8" r:id="rId4" display="https://cadsr.cancer.gov/"/>
    <hyperlink ref="G9" r:id="rId5" display="https://cadsr.cancer.gov/"/>
    <hyperlink ref="G10" r:id="rId6" display="https://cadsr.cancer.gov/"/>
    <hyperlink ref="G11" r:id="rId7" display="https://cadsr.cancer.gov/"/>
    <hyperlink ref="G12" r:id="rId8" display="https://cadsr.cancer.gov/"/>
    <hyperlink ref="G13" r:id="rId9" display="https://cadsr.cancer.gov/"/>
    <hyperlink ref="G14" r:id="rId10" display="https://cadsr.cancer.gov/"/>
    <hyperlink ref="G15" r:id="rId11" display="https://cadsr.cancer.gov/"/>
    <hyperlink ref="G16" r:id="rId12" display="https://cadsr.cancer.gov/"/>
    <hyperlink ref="G17" r:id="rId13" display="https://cadsr.cancer.gov/"/>
    <hyperlink ref="G18" r:id="rId14" display="https://cadsr.cancer.gov/"/>
    <hyperlink ref="G19" r:id="rId15" display="https://cadsr.cancer.gov/"/>
    <hyperlink ref="G20" r:id="rId16" display="https://cadsr.cancer.gov/"/>
    <hyperlink ref="G21" r:id="rId17" display="https://cadsr.cancer.gov/"/>
    <hyperlink ref="G22" r:id="rId18" display="https://cadsr.cancer.gov/"/>
    <hyperlink ref="G23" r:id="rId19" display="https://cadsr.cancer.gov/"/>
    <hyperlink ref="G24" r:id="rId20" display="https://cadsr.cancer.gov/"/>
    <hyperlink ref="G25" r:id="rId21" display="https://cadsr.cancer.gov/"/>
    <hyperlink ref="G26" r:id="rId22" display="https://cadsr.cancer.gov/"/>
    <hyperlink ref="G27" r:id="rId23" display="https://cadsr.cancer.gov/"/>
    <hyperlink ref="G28" r:id="rId24" display="https://cadsr.cancer.gov/"/>
    <hyperlink ref="G29" r:id="rId25" display="https://cadsr.cancer.gov/"/>
    <hyperlink ref="G30" r:id="rId26" display="https://cadsr.cancer.gov/"/>
    <hyperlink ref="G31" r:id="rId27" display="https://cadsr.cancer.gov/"/>
    <hyperlink ref="G32" r:id="rId28" display="https://cadsr.cancer.gov/"/>
    <hyperlink ref="G33" r:id="rId29" display="https://cadsr.cancer.gov/"/>
    <hyperlink ref="G34" r:id="rId30" display="https://cadsr.cancer.gov/"/>
    <hyperlink ref="G35" r:id="rId31" display="https://cadsr.cancer.gov/"/>
    <hyperlink ref="G36" r:id="rId32" display="https://cadsr.cancer.gov/"/>
    <hyperlink ref="G37" r:id="rId33" display="https://cadsr.cancer.gov/"/>
    <hyperlink ref="G38" r:id="rId34" display="https://cadsr.cancer.gov/"/>
    <hyperlink ref="G39" r:id="rId35" display="https://cadsr.cancer.gov/"/>
    <hyperlink ref="G40" r:id="rId36" display="https://cadsr.cancer.gov/"/>
    <hyperlink ref="G41" r:id="rId37" display="https://cadsr.cancer.gov/"/>
    <hyperlink ref="G42" r:id="rId38" display="https://cadsr.cancer.gov/"/>
    <hyperlink ref="G43" r:id="rId39" display="https://cadsr.cancer.gov/"/>
    <hyperlink ref="G44" r:id="rId40" display="https://cadsr.cancer.gov/"/>
    <hyperlink ref="G45" r:id="rId41" display="https://cadsr.cancer.gov/"/>
    <hyperlink ref="G46" r:id="rId42" display="https://cadsr.cancer.gov/"/>
    <hyperlink ref="G47" r:id="rId43" display="https://cadsr.cancer.gov/"/>
    <hyperlink ref="G48" r:id="rId44" display="https://cadsr.cancer.gov/"/>
    <hyperlink ref="G49" r:id="rId45" display="https://cadsr.cancer.gov/"/>
    <hyperlink ref="G50" r:id="rId46" display="https://cadsr.cancer.gov/"/>
    <hyperlink ref="D54" r:id="rId47" display="https://wiki.nci.nih.gov/pages/viewpage.action?pageId=309494141"/>
    <hyperlink ref="D55" r:id="rId48" display="https://wiki.nci.nih.gov/pages/viewpage.action?pageId=309494141"/>
    <hyperlink ref="D56" r:id="rId49" display="https://wiki.nci.nih.gov/pages/viewpage.action?pageId=309494141"/>
    <hyperlink ref="D57" r:id="rId50" display="https://healthcaredelivery.cancer.gov/pro-ctca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1"/>
    <tablePart r:id="rId5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7" t="s">
        <v>521</v>
      </c>
      <c r="B1" s="7" t="s">
        <v>576</v>
      </c>
      <c r="C1" s="7" t="s">
        <v>101</v>
      </c>
      <c r="D1" s="7" t="s">
        <v>102</v>
      </c>
      <c r="E1" s="7" t="s">
        <v>103</v>
      </c>
      <c r="F1" s="7" t="s">
        <v>109</v>
      </c>
      <c r="G1" s="7" t="s">
        <v>603</v>
      </c>
      <c r="H1" s="7" t="s">
        <v>111</v>
      </c>
    </row>
    <row r="2" customFormat="false" ht="15" hidden="false" customHeight="false" outlineLevel="0" collapsed="false">
      <c r="A2" s="8" t="s">
        <v>604</v>
      </c>
      <c r="B2" s="9" t="s">
        <v>158</v>
      </c>
      <c r="C2" s="8" t="s">
        <v>159</v>
      </c>
      <c r="D2" s="8" t="s">
        <v>128</v>
      </c>
      <c r="E2" s="9" t="s">
        <v>160</v>
      </c>
      <c r="F2" s="9"/>
      <c r="G2" s="9" t="s">
        <v>605</v>
      </c>
      <c r="H2" s="10" t="s">
        <v>84</v>
      </c>
    </row>
    <row r="3" customFormat="false" ht="57.45" hidden="false" customHeight="false" outlineLevel="0" collapsed="false">
      <c r="A3" s="8"/>
      <c r="B3" s="9" t="s">
        <v>163</v>
      </c>
      <c r="C3" s="8" t="s">
        <v>164</v>
      </c>
      <c r="D3" s="8" t="s">
        <v>140</v>
      </c>
      <c r="E3" s="9" t="s">
        <v>165</v>
      </c>
      <c r="F3" s="9"/>
      <c r="G3" s="9" t="s">
        <v>606</v>
      </c>
      <c r="H3" s="10" t="s">
        <v>84</v>
      </c>
    </row>
    <row r="4" customFormat="false" ht="23.85" hidden="false" customHeight="false" outlineLevel="0" collapsed="false">
      <c r="A4" s="8"/>
      <c r="B4" s="9" t="s">
        <v>167</v>
      </c>
      <c r="C4" s="8" t="s">
        <v>168</v>
      </c>
      <c r="D4" s="8" t="s">
        <v>140</v>
      </c>
      <c r="E4" s="9" t="s">
        <v>169</v>
      </c>
      <c r="F4" s="9"/>
      <c r="G4" s="9" t="s">
        <v>607</v>
      </c>
      <c r="H4" s="10" t="s">
        <v>84</v>
      </c>
    </row>
    <row r="5" customFormat="false" ht="35.05" hidden="false" customHeight="false" outlineLevel="0" collapsed="false">
      <c r="A5" s="8"/>
      <c r="B5" s="9" t="s">
        <v>171</v>
      </c>
      <c r="C5" s="8" t="s">
        <v>172</v>
      </c>
      <c r="D5" s="8" t="s">
        <v>128</v>
      </c>
      <c r="E5" s="9" t="s">
        <v>173</v>
      </c>
      <c r="F5" s="9"/>
      <c r="G5" s="9" t="s">
        <v>608</v>
      </c>
      <c r="H5" s="10" t="s">
        <v>84</v>
      </c>
    </row>
    <row r="6" customFormat="false" ht="23.85" hidden="false" customHeight="false" outlineLevel="0" collapsed="false">
      <c r="A6" s="8"/>
      <c r="B6" s="9" t="s">
        <v>175</v>
      </c>
      <c r="C6" s="8" t="s">
        <v>176</v>
      </c>
      <c r="D6" s="8" t="s">
        <v>140</v>
      </c>
      <c r="E6" s="9" t="s">
        <v>177</v>
      </c>
      <c r="F6" s="9"/>
      <c r="G6" s="9" t="s">
        <v>609</v>
      </c>
      <c r="H6" s="10" t="s">
        <v>84</v>
      </c>
    </row>
    <row r="7" customFormat="false" ht="46.25" hidden="false" customHeight="false" outlineLevel="0" collapsed="false">
      <c r="A7" s="8"/>
      <c r="B7" s="9" t="s">
        <v>179</v>
      </c>
      <c r="C7" s="8" t="s">
        <v>180</v>
      </c>
      <c r="D7" s="8" t="s">
        <v>135</v>
      </c>
      <c r="E7" s="9" t="s">
        <v>181</v>
      </c>
      <c r="F7" s="9"/>
      <c r="G7" s="9" t="s">
        <v>610</v>
      </c>
      <c r="H7" s="10" t="s">
        <v>84</v>
      </c>
    </row>
    <row r="8" customFormat="false" ht="23.85" hidden="false" customHeight="false" outlineLevel="0" collapsed="false">
      <c r="A8" s="8"/>
      <c r="B8" s="9" t="s">
        <v>183</v>
      </c>
      <c r="C8" s="8" t="s">
        <v>184</v>
      </c>
      <c r="D8" s="8" t="s">
        <v>128</v>
      </c>
      <c r="E8" s="9" t="s">
        <v>185</v>
      </c>
      <c r="F8" s="9"/>
      <c r="G8" s="9" t="s">
        <v>611</v>
      </c>
      <c r="H8" s="10" t="s">
        <v>84</v>
      </c>
    </row>
    <row r="9" customFormat="false" ht="23.85" hidden="false" customHeight="false" outlineLevel="0" collapsed="false">
      <c r="A9" s="8"/>
      <c r="B9" s="9" t="s">
        <v>187</v>
      </c>
      <c r="C9" s="8" t="s">
        <v>188</v>
      </c>
      <c r="D9" s="8" t="s">
        <v>135</v>
      </c>
      <c r="E9" s="9" t="s">
        <v>189</v>
      </c>
      <c r="F9" s="9"/>
      <c r="G9" s="9" t="s">
        <v>611</v>
      </c>
      <c r="H9" s="10" t="s">
        <v>84</v>
      </c>
    </row>
    <row r="10" customFormat="false" ht="23.85" hidden="false" customHeight="false" outlineLevel="0" collapsed="false">
      <c r="A10" s="8" t="s">
        <v>612</v>
      </c>
      <c r="B10" s="9" t="s">
        <v>190</v>
      </c>
      <c r="C10" s="8" t="s">
        <v>191</v>
      </c>
      <c r="D10" s="8" t="s">
        <v>116</v>
      </c>
      <c r="E10" s="9"/>
      <c r="F10" s="9"/>
      <c r="G10" s="9" t="s">
        <v>613</v>
      </c>
      <c r="H10" s="10" t="s">
        <v>84</v>
      </c>
    </row>
    <row r="11" customFormat="false" ht="23.85" hidden="false" customHeight="false" outlineLevel="0" collapsed="false">
      <c r="A11" s="8"/>
      <c r="B11" s="9" t="s">
        <v>193</v>
      </c>
      <c r="C11" s="8" t="s">
        <v>194</v>
      </c>
      <c r="D11" s="8" t="s">
        <v>116</v>
      </c>
      <c r="E11" s="9"/>
      <c r="F11" s="9" t="s">
        <v>195</v>
      </c>
      <c r="G11" s="9" t="s">
        <v>614</v>
      </c>
      <c r="H11" s="10" t="s">
        <v>84</v>
      </c>
    </row>
    <row r="12" customFormat="false" ht="23.85" hidden="false" customHeight="false" outlineLevel="0" collapsed="false">
      <c r="A12" s="8" t="s">
        <v>615</v>
      </c>
      <c r="B12" s="9" t="s">
        <v>197</v>
      </c>
      <c r="C12" s="8" t="s">
        <v>198</v>
      </c>
      <c r="D12" s="8" t="s">
        <v>128</v>
      </c>
      <c r="E12" s="9" t="s">
        <v>199</v>
      </c>
      <c r="F12" s="9"/>
      <c r="G12" s="9" t="s">
        <v>616</v>
      </c>
      <c r="H12" s="10" t="s">
        <v>84</v>
      </c>
    </row>
    <row r="13" customFormat="false" ht="46.25" hidden="false" customHeight="false" outlineLevel="0" collapsed="false">
      <c r="A13" s="8"/>
      <c r="B13" s="9" t="s">
        <v>201</v>
      </c>
      <c r="C13" s="8" t="s">
        <v>202</v>
      </c>
      <c r="D13" s="8" t="s">
        <v>140</v>
      </c>
      <c r="E13" s="9" t="s">
        <v>203</v>
      </c>
      <c r="F13" s="9" t="s">
        <v>204</v>
      </c>
      <c r="G13" s="9" t="s">
        <v>617</v>
      </c>
      <c r="H13" s="10" t="s">
        <v>84</v>
      </c>
    </row>
    <row r="14" customFormat="false" ht="15" hidden="false" customHeight="false" outlineLevel="0" collapsed="false">
      <c r="A14" s="8" t="s">
        <v>618</v>
      </c>
      <c r="B14" s="9" t="s">
        <v>206</v>
      </c>
      <c r="C14" s="8" t="s">
        <v>207</v>
      </c>
      <c r="D14" s="8" t="s">
        <v>128</v>
      </c>
      <c r="E14" s="9" t="s">
        <v>185</v>
      </c>
      <c r="F14" s="9"/>
      <c r="G14" s="9" t="s">
        <v>619</v>
      </c>
      <c r="H14" s="10" t="s">
        <v>84</v>
      </c>
    </row>
    <row r="15" customFormat="false" ht="23.85" hidden="false" customHeight="false" outlineLevel="0" collapsed="false">
      <c r="A15" s="8"/>
      <c r="B15" s="9" t="s">
        <v>209</v>
      </c>
      <c r="C15" s="8" t="s">
        <v>210</v>
      </c>
      <c r="D15" s="8" t="s">
        <v>128</v>
      </c>
      <c r="E15" s="9" t="s">
        <v>185</v>
      </c>
      <c r="F15" s="9"/>
      <c r="G15" s="9" t="s">
        <v>619</v>
      </c>
      <c r="H15" s="10" t="s">
        <v>84</v>
      </c>
    </row>
    <row r="16" customFormat="false" ht="23.85" hidden="false" customHeight="false" outlineLevel="0" collapsed="false">
      <c r="A16" s="8"/>
      <c r="B16" s="9" t="s">
        <v>211</v>
      </c>
      <c r="C16" s="8" t="s">
        <v>212</v>
      </c>
      <c r="D16" s="8" t="s">
        <v>128</v>
      </c>
      <c r="E16" s="9" t="s">
        <v>185</v>
      </c>
      <c r="F16" s="9"/>
      <c r="G16" s="9" t="s">
        <v>619</v>
      </c>
      <c r="H16" s="10" t="s">
        <v>84</v>
      </c>
    </row>
    <row r="17" customFormat="false" ht="15" hidden="false" customHeight="false" outlineLevel="0" collapsed="false">
      <c r="A17" s="8"/>
      <c r="B17" s="9" t="s">
        <v>213</v>
      </c>
      <c r="C17" s="8" t="s">
        <v>214</v>
      </c>
      <c r="D17" s="8" t="s">
        <v>128</v>
      </c>
      <c r="E17" s="9" t="s">
        <v>185</v>
      </c>
      <c r="F17" s="9"/>
      <c r="G17" s="9" t="s">
        <v>619</v>
      </c>
      <c r="H17" s="10" t="s">
        <v>84</v>
      </c>
    </row>
    <row r="18" customFormat="false" ht="15" hidden="false" customHeight="false" outlineLevel="0" collapsed="false">
      <c r="A18" s="8"/>
      <c r="B18" s="9" t="s">
        <v>215</v>
      </c>
      <c r="C18" s="8" t="s">
        <v>216</v>
      </c>
      <c r="D18" s="8" t="s">
        <v>128</v>
      </c>
      <c r="E18" s="9" t="s">
        <v>185</v>
      </c>
      <c r="F18" s="9"/>
      <c r="G18" s="9" t="s">
        <v>619</v>
      </c>
      <c r="H18" s="10" t="s">
        <v>84</v>
      </c>
    </row>
    <row r="19" customFormat="false" ht="23.85" hidden="false" customHeight="false" outlineLevel="0" collapsed="false">
      <c r="A19" s="8"/>
      <c r="B19" s="9" t="s">
        <v>217</v>
      </c>
      <c r="C19" s="8" t="s">
        <v>218</v>
      </c>
      <c r="D19" s="8" t="s">
        <v>128</v>
      </c>
      <c r="E19" s="9" t="s">
        <v>185</v>
      </c>
      <c r="F19" s="9"/>
      <c r="G19" s="9" t="s">
        <v>619</v>
      </c>
      <c r="H19" s="10" t="s">
        <v>84</v>
      </c>
    </row>
    <row r="20" customFormat="false" ht="46.25" hidden="false" customHeight="false" outlineLevel="0" collapsed="false">
      <c r="A20" s="8" t="s">
        <v>620</v>
      </c>
      <c r="B20" s="9" t="s">
        <v>219</v>
      </c>
      <c r="C20" s="8" t="s">
        <v>220</v>
      </c>
      <c r="D20" s="8" t="s">
        <v>140</v>
      </c>
      <c r="E20" s="9" t="s">
        <v>221</v>
      </c>
      <c r="F20" s="9"/>
      <c r="G20" s="9" t="s">
        <v>611</v>
      </c>
      <c r="H20" s="10" t="s">
        <v>84</v>
      </c>
    </row>
    <row r="21" customFormat="false" ht="35.05" hidden="false" customHeight="false" outlineLevel="0" collapsed="false">
      <c r="A21" s="8"/>
      <c r="B21" s="9" t="s">
        <v>222</v>
      </c>
      <c r="C21" s="8" t="s">
        <v>223</v>
      </c>
      <c r="D21" s="8" t="s">
        <v>135</v>
      </c>
      <c r="E21" s="9" t="s">
        <v>224</v>
      </c>
      <c r="F21" s="9"/>
      <c r="G21" s="9" t="s">
        <v>611</v>
      </c>
      <c r="H21" s="10" t="s">
        <v>84</v>
      </c>
    </row>
    <row r="22" customFormat="false" ht="15" hidden="false" customHeight="false" outlineLevel="0" collapsed="false">
      <c r="A22" s="8"/>
      <c r="B22" s="9" t="s">
        <v>225</v>
      </c>
      <c r="C22" s="8" t="s">
        <v>226</v>
      </c>
      <c r="D22" s="8" t="s">
        <v>128</v>
      </c>
      <c r="E22" s="9" t="s">
        <v>227</v>
      </c>
      <c r="F22" s="9"/>
      <c r="G22" s="9" t="s">
        <v>611</v>
      </c>
      <c r="H22" s="10" t="s">
        <v>84</v>
      </c>
    </row>
    <row r="23" customFormat="false" ht="46.25" hidden="false" customHeight="false" outlineLevel="0" collapsed="false">
      <c r="A23" s="8"/>
      <c r="B23" s="9" t="s">
        <v>228</v>
      </c>
      <c r="C23" s="8" t="s">
        <v>229</v>
      </c>
      <c r="D23" s="8" t="s">
        <v>135</v>
      </c>
      <c r="E23" s="9" t="s">
        <v>230</v>
      </c>
      <c r="F23" s="9" t="s">
        <v>231</v>
      </c>
      <c r="G23" s="9" t="s">
        <v>621</v>
      </c>
      <c r="H23" s="10" t="s">
        <v>84</v>
      </c>
    </row>
    <row r="24" customFormat="false" ht="23.85" hidden="false" customHeight="false" outlineLevel="0" collapsed="false">
      <c r="A24" s="8"/>
      <c r="B24" s="9" t="s">
        <v>233</v>
      </c>
      <c r="C24" s="8" t="s">
        <v>234</v>
      </c>
      <c r="D24" s="8" t="s">
        <v>135</v>
      </c>
      <c r="E24" s="9" t="s">
        <v>235</v>
      </c>
      <c r="F24" s="9"/>
      <c r="G24" s="9" t="s">
        <v>622</v>
      </c>
      <c r="H24" s="10" t="s">
        <v>84</v>
      </c>
    </row>
    <row r="25" customFormat="false" ht="23.85" hidden="false" customHeight="false" outlineLevel="0" collapsed="false">
      <c r="A25" s="8"/>
      <c r="B25" s="9" t="s">
        <v>237</v>
      </c>
      <c r="C25" s="8" t="s">
        <v>238</v>
      </c>
      <c r="D25" s="8" t="s">
        <v>128</v>
      </c>
      <c r="E25" s="9" t="s">
        <v>239</v>
      </c>
      <c r="F25" s="9"/>
      <c r="G25" s="9" t="s">
        <v>623</v>
      </c>
      <c r="H25" s="10" t="s">
        <v>84</v>
      </c>
    </row>
  </sheetData>
  <hyperlinks>
    <hyperlink ref="H2" r:id="rId1" display="https://support.researchallofus.org/hc/en-us/articles/6085285773204-The-Basics-Baseline-Survey-Details-and-Resources"/>
    <hyperlink ref="H3" r:id="rId2" display="https://support.researchallofus.org/hc/en-us/articles/6085285773204-The-Basics-Baseline-Survey-Details-and-Resources"/>
    <hyperlink ref="H4" r:id="rId3" display="https://support.researchallofus.org/hc/en-us/articles/6085285773204-The-Basics-Baseline-Survey-Details-and-Resources"/>
    <hyperlink ref="H5" r:id="rId4" display="https://support.researchallofus.org/hc/en-us/articles/6085285773204-The-Basics-Baseline-Survey-Details-and-Resources"/>
    <hyperlink ref="H6" r:id="rId5" display="https://support.researchallofus.org/hc/en-us/articles/6085285773204-The-Basics-Baseline-Survey-Details-and-Resources"/>
    <hyperlink ref="H7" r:id="rId6" display="https://support.researchallofus.org/hc/en-us/articles/6085285773204-The-Basics-Baseline-Survey-Details-and-Resources"/>
    <hyperlink ref="H8" r:id="rId7" display="https://support.researchallofus.org/hc/en-us/articles/6085285773204-The-Basics-Baseline-Survey-Details-and-Resources"/>
    <hyperlink ref="H9" r:id="rId8" display="https://support.researchallofus.org/hc/en-us/articles/6085285773204-The-Basics-Baseline-Survey-Details-and-Resources"/>
    <hyperlink ref="H10" r:id="rId9" display="https://support.researchallofus.org/hc/en-us/articles/6085285773204-The-Basics-Baseline-Survey-Details-and-Resources"/>
    <hyperlink ref="H11" r:id="rId10" display="https://support.researchallofus.org/hc/en-us/articles/6085285773204-The-Basics-Baseline-Survey-Details-and-Resources"/>
    <hyperlink ref="H12" r:id="rId11" display="https://support.researchallofus.org/hc/en-us/articles/6085285773204-The-Basics-Baseline-Survey-Details-and-Resources"/>
    <hyperlink ref="H13" r:id="rId12" display="https://support.researchallofus.org/hc/en-us/articles/6085285773204-The-Basics-Baseline-Survey-Details-and-Resources"/>
    <hyperlink ref="H14" r:id="rId13" display="https://support.researchallofus.org/hc/en-us/articles/6085285773204-The-Basics-Baseline-Survey-Details-and-Resources"/>
    <hyperlink ref="H15" r:id="rId14" display="https://support.researchallofus.org/hc/en-us/articles/6085285773204-The-Basics-Baseline-Survey-Details-and-Resources"/>
    <hyperlink ref="H16" r:id="rId15" display="https://support.researchallofus.org/hc/en-us/articles/6085285773204-The-Basics-Baseline-Survey-Details-and-Resources"/>
    <hyperlink ref="H17" r:id="rId16" display="https://support.researchallofus.org/hc/en-us/articles/6085285773204-The-Basics-Baseline-Survey-Details-and-Resources"/>
    <hyperlink ref="H18" r:id="rId17" display="https://support.researchallofus.org/hc/en-us/articles/6085285773204-The-Basics-Baseline-Survey-Details-and-Resources"/>
    <hyperlink ref="H19" r:id="rId18" display="https://support.researchallofus.org/hc/en-us/articles/6085285773204-The-Basics-Baseline-Survey-Details-and-Resources"/>
    <hyperlink ref="H20" r:id="rId19" display="https://support.researchallofus.org/hc/en-us/articles/6085285773204-The-Basics-Baseline-Survey-Details-and-Resources"/>
    <hyperlink ref="H21" r:id="rId20" display="https://support.researchallofus.org/hc/en-us/articles/6085285773204-The-Basics-Baseline-Survey-Details-and-Resources"/>
    <hyperlink ref="H22" r:id="rId21" display="https://support.researchallofus.org/hc/en-us/articles/6085285773204-The-Basics-Baseline-Survey-Details-and-Resources"/>
    <hyperlink ref="H23" r:id="rId22" display="https://support.researchallofus.org/hc/en-us/articles/6085285773204-The-Basics-Baseline-Survey-Details-and-Resources"/>
    <hyperlink ref="H24" r:id="rId23" display="https://support.researchallofus.org/hc/en-us/articles/6085285773204-The-Basics-Baseline-Survey-Details-and-Resources"/>
    <hyperlink ref="H25" r:id="rId24" display="https://support.researchallofus.org/hc/en-us/articles/6085285773204-The-Basics-Baseline-Survey-Details-and-Re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7" t="s">
        <v>624</v>
      </c>
      <c r="B1" s="7" t="s">
        <v>625</v>
      </c>
      <c r="C1" s="7" t="s">
        <v>626</v>
      </c>
      <c r="D1" s="7" t="s">
        <v>111</v>
      </c>
    </row>
    <row r="2" customFormat="false" ht="15" hidden="false" customHeight="false" outlineLevel="0" collapsed="false">
      <c r="A2" s="8" t="s">
        <v>161</v>
      </c>
      <c r="B2" s="8" t="s">
        <v>627</v>
      </c>
      <c r="C2" s="9" t="s">
        <v>628</v>
      </c>
      <c r="D2" s="10" t="s">
        <v>84</v>
      </c>
    </row>
    <row r="3" customFormat="false" ht="15" hidden="false" customHeight="false" outlineLevel="0" collapsed="false">
      <c r="A3" s="8" t="s">
        <v>453</v>
      </c>
      <c r="B3" s="8" t="s">
        <v>627</v>
      </c>
      <c r="C3" s="9" t="s">
        <v>629</v>
      </c>
      <c r="D3" s="10" t="s">
        <v>92</v>
      </c>
    </row>
    <row r="4" customFormat="false" ht="15" hidden="false" customHeight="false" outlineLevel="0" collapsed="false">
      <c r="A4" s="8" t="s">
        <v>452</v>
      </c>
      <c r="B4" s="8" t="s">
        <v>627</v>
      </c>
      <c r="C4" s="9" t="s">
        <v>630</v>
      </c>
      <c r="D4" s="10" t="s">
        <v>95</v>
      </c>
    </row>
    <row r="5" customFormat="false" ht="15" hidden="false" customHeight="false" outlineLevel="0" collapsed="false">
      <c r="A5" s="8" t="s">
        <v>631</v>
      </c>
      <c r="B5" s="8" t="s">
        <v>568</v>
      </c>
      <c r="C5" s="9" t="s">
        <v>632</v>
      </c>
      <c r="D5" s="10" t="s">
        <v>81</v>
      </c>
    </row>
    <row r="6" customFormat="false" ht="15" hidden="false" customHeight="false" outlineLevel="0" collapsed="false">
      <c r="A6" s="8" t="s">
        <v>633</v>
      </c>
      <c r="B6" s="8" t="s">
        <v>568</v>
      </c>
      <c r="C6" s="9" t="s">
        <v>634</v>
      </c>
      <c r="D6" s="10" t="s">
        <v>81</v>
      </c>
    </row>
    <row r="7" customFormat="false" ht="15" hidden="false" customHeight="false" outlineLevel="0" collapsed="false">
      <c r="A7" s="8" t="s">
        <v>443</v>
      </c>
      <c r="B7" s="8" t="s">
        <v>568</v>
      </c>
      <c r="C7" s="9" t="s">
        <v>635</v>
      </c>
      <c r="D7" s="10" t="s">
        <v>81</v>
      </c>
    </row>
    <row r="8" customFormat="false" ht="15" hidden="false" customHeight="false" outlineLevel="0" collapsed="false">
      <c r="A8" s="8" t="s">
        <v>476</v>
      </c>
      <c r="B8" s="8" t="s">
        <v>568</v>
      </c>
      <c r="C8" s="9" t="s">
        <v>636</v>
      </c>
      <c r="D8" s="10" t="s">
        <v>81</v>
      </c>
    </row>
    <row r="9" customFormat="false" ht="15" hidden="false" customHeight="false" outlineLevel="0" collapsed="false">
      <c r="A9" s="8" t="s">
        <v>637</v>
      </c>
      <c r="B9" s="8" t="s">
        <v>568</v>
      </c>
      <c r="C9" s="9" t="s">
        <v>638</v>
      </c>
      <c r="D9" s="10" t="s">
        <v>98</v>
      </c>
    </row>
    <row r="10" customFormat="false" ht="15" hidden="false" customHeight="false" outlineLevel="0" collapsed="false">
      <c r="A10" s="8" t="s">
        <v>639</v>
      </c>
      <c r="B10" s="8" t="s">
        <v>568</v>
      </c>
      <c r="C10" s="9" t="s">
        <v>640</v>
      </c>
      <c r="D10" s="10" t="s">
        <v>81</v>
      </c>
    </row>
    <row r="11" customFormat="false" ht="15" hidden="false" customHeight="false" outlineLevel="0" collapsed="false">
      <c r="A11" s="8" t="s">
        <v>641</v>
      </c>
      <c r="B11" s="8" t="s">
        <v>642</v>
      </c>
      <c r="C11" s="9" t="s">
        <v>643</v>
      </c>
      <c r="D11" s="10" t="s">
        <v>77</v>
      </c>
    </row>
    <row r="12" customFormat="false" ht="15" hidden="false" customHeight="false" outlineLevel="0" collapsed="false">
      <c r="A12" s="8" t="s">
        <v>644</v>
      </c>
      <c r="B12" s="8" t="s">
        <v>645</v>
      </c>
      <c r="C12" s="9" t="s">
        <v>646</v>
      </c>
      <c r="D12" s="10" t="s">
        <v>77</v>
      </c>
    </row>
    <row r="13" customFormat="false" ht="15" hidden="false" customHeight="false" outlineLevel="0" collapsed="false">
      <c r="A13" s="8" t="s">
        <v>647</v>
      </c>
      <c r="B13" s="8" t="s">
        <v>648</v>
      </c>
      <c r="C13" s="9" t="s">
        <v>649</v>
      </c>
      <c r="D13" s="10" t="s">
        <v>77</v>
      </c>
    </row>
  </sheetData>
  <hyperlinks>
    <hyperlink ref="D2" r:id="rId1" display="https://support.researchallofus.org/hc/en-us/articles/6085285773204-The-Basics-Baseline-Survey-Details-and-Resources"/>
    <hyperlink ref="D3" r:id="rId2" display="https://support.researchallofus.org/hc/en-us/articles/6085586512660-Lifestyle-Baseline-Survey-Details-and-Resources"/>
    <hyperlink ref="D4" r:id="rId3" display="https://support.researchallofus.org/hc/en-us/articles/6085831989524-Overall-Health-Baseline-Survey-Details-and-Resources"/>
    <hyperlink ref="D5" r:id="rId4" display="https://www.researchallofus.org/data-tools/survey-explorer/"/>
    <hyperlink ref="D6" r:id="rId5" display="https://www.researchallofus.org/data-tools/survey-explorer/"/>
    <hyperlink ref="D7" r:id="rId6" display="https://www.researchallofus.org/data-tools/survey-explorer/"/>
    <hyperlink ref="D8" r:id="rId7" display="https://www.researchallofus.org/data-tools/survey-explorer/"/>
    <hyperlink ref="D9" r:id="rId8" display="https://support.researchallofus.org/hc/en-us/articles/29384465580564-Emotional-Health-History-and-Well-Being-Follow-Up-Survey-Details-and-Resources"/>
    <hyperlink ref="D10" r:id="rId9" display="https://www.researchallofus.org/data-tools/survey-explorer/"/>
    <hyperlink ref="D11" r:id="rId10" display="https://support.researchallofus.org/hc/en-us/articles/360033200232-Data-Dictionaries"/>
    <hyperlink ref="D12" r:id="rId11" display="https://support.researchallofus.org/hc/en-us/articles/360033200232-Data-Dictionaries"/>
    <hyperlink ref="D13" r:id="rId12" display="https://support.researchallofus.org/hc/en-us/articles/360033200232-Data-Dictionari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46"/>
    <col collapsed="false" customWidth="true" hidden="false" outlineLevel="0" max="12" min="12" style="0" width="50"/>
  </cols>
  <sheetData>
    <row r="1" customFormat="false" ht="23.85" hidden="false" customHeight="false" outlineLevel="0" collapsed="false">
      <c r="A1" s="7" t="s">
        <v>575</v>
      </c>
      <c r="B1" s="7" t="s">
        <v>576</v>
      </c>
      <c r="C1" s="7" t="s">
        <v>101</v>
      </c>
      <c r="D1" s="7" t="s">
        <v>102</v>
      </c>
      <c r="E1" s="7" t="s">
        <v>104</v>
      </c>
      <c r="F1" s="7" t="s">
        <v>18</v>
      </c>
      <c r="G1" s="7" t="s">
        <v>105</v>
      </c>
      <c r="H1" s="7" t="s">
        <v>106</v>
      </c>
      <c r="I1" s="7" t="s">
        <v>107</v>
      </c>
      <c r="J1" s="7" t="s">
        <v>108</v>
      </c>
      <c r="K1" s="7" t="s">
        <v>103</v>
      </c>
      <c r="L1" s="7" t="s">
        <v>111</v>
      </c>
    </row>
    <row r="2" customFormat="false" ht="15" hidden="false" customHeight="false" outlineLevel="0" collapsed="false">
      <c r="A2" s="8" t="s">
        <v>578</v>
      </c>
      <c r="B2" s="9" t="s">
        <v>650</v>
      </c>
      <c r="C2" s="8" t="s">
        <v>651</v>
      </c>
      <c r="D2" s="8" t="s">
        <v>116</v>
      </c>
      <c r="E2" s="8"/>
      <c r="F2" s="8"/>
      <c r="G2" s="9"/>
      <c r="H2" s="8"/>
      <c r="I2" s="8" t="s">
        <v>117</v>
      </c>
      <c r="J2" s="8" t="s">
        <v>118</v>
      </c>
      <c r="K2" s="9"/>
      <c r="L2" s="8"/>
    </row>
    <row r="3" customFormat="false" ht="15" hidden="false" customHeight="false" outlineLevel="0" collapsed="false">
      <c r="A3" s="8" t="s">
        <v>578</v>
      </c>
      <c r="B3" s="9" t="s">
        <v>114</v>
      </c>
      <c r="C3" s="8" t="s">
        <v>115</v>
      </c>
      <c r="D3" s="8" t="s">
        <v>116</v>
      </c>
      <c r="E3" s="8"/>
      <c r="F3" s="8" t="s">
        <v>447</v>
      </c>
      <c r="G3" s="9"/>
      <c r="H3" s="8"/>
      <c r="I3" s="8" t="s">
        <v>18</v>
      </c>
      <c r="J3" s="8" t="s">
        <v>118</v>
      </c>
      <c r="K3" s="9"/>
      <c r="L3" s="8"/>
    </row>
    <row r="4" customFormat="false" ht="15" hidden="false" customHeight="false" outlineLevel="0" collapsed="false">
      <c r="A4" s="8" t="s">
        <v>113</v>
      </c>
      <c r="B4" s="9" t="s">
        <v>120</v>
      </c>
      <c r="C4" s="8" t="s">
        <v>121</v>
      </c>
      <c r="D4" s="8" t="s">
        <v>116</v>
      </c>
      <c r="E4" s="8" t="s">
        <v>122</v>
      </c>
      <c r="F4" s="8" t="s">
        <v>447</v>
      </c>
      <c r="G4" s="9"/>
      <c r="H4" s="8" t="s">
        <v>161</v>
      </c>
      <c r="I4" s="8" t="s">
        <v>652</v>
      </c>
      <c r="J4" s="8" t="s">
        <v>123</v>
      </c>
      <c r="K4" s="9"/>
      <c r="L4" s="10" t="s">
        <v>125</v>
      </c>
    </row>
    <row r="5" customFormat="false" ht="15" hidden="false" customHeight="false" outlineLevel="0" collapsed="false">
      <c r="A5" s="8" t="s">
        <v>113</v>
      </c>
      <c r="B5" s="9" t="s">
        <v>126</v>
      </c>
      <c r="C5" s="8" t="s">
        <v>127</v>
      </c>
      <c r="D5" s="8" t="s">
        <v>128</v>
      </c>
      <c r="E5" s="8" t="s">
        <v>130</v>
      </c>
      <c r="F5" s="8" t="s">
        <v>447</v>
      </c>
      <c r="G5" s="9"/>
      <c r="H5" s="8" t="s">
        <v>161</v>
      </c>
      <c r="I5" s="8" t="s">
        <v>652</v>
      </c>
      <c r="J5" s="8" t="s">
        <v>123</v>
      </c>
      <c r="K5" s="9" t="s">
        <v>129</v>
      </c>
      <c r="L5" s="10" t="s">
        <v>132</v>
      </c>
    </row>
    <row r="6" customFormat="false" ht="23.85" hidden="false" customHeight="false" outlineLevel="0" collapsed="false">
      <c r="A6" s="8" t="s">
        <v>113</v>
      </c>
      <c r="B6" s="9" t="s">
        <v>133</v>
      </c>
      <c r="C6" s="8" t="s">
        <v>134</v>
      </c>
      <c r="D6" s="8" t="s">
        <v>135</v>
      </c>
      <c r="E6" s="8"/>
      <c r="F6" s="8" t="s">
        <v>447</v>
      </c>
      <c r="G6" s="9"/>
      <c r="H6" s="8" t="s">
        <v>161</v>
      </c>
      <c r="I6" s="8" t="s">
        <v>449</v>
      </c>
      <c r="J6" s="8" t="s">
        <v>118</v>
      </c>
      <c r="K6" s="9" t="s">
        <v>136</v>
      </c>
      <c r="L6" s="10" t="s">
        <v>84</v>
      </c>
    </row>
    <row r="7" customFormat="false" ht="23.85" hidden="false" customHeight="false" outlineLevel="0" collapsed="false">
      <c r="A7" s="8" t="s">
        <v>113</v>
      </c>
      <c r="B7" s="9" t="s">
        <v>430</v>
      </c>
      <c r="C7" s="8" t="s">
        <v>431</v>
      </c>
      <c r="D7" s="8" t="s">
        <v>135</v>
      </c>
      <c r="E7" s="8"/>
      <c r="F7" s="8"/>
      <c r="G7" s="9"/>
      <c r="H7" s="8" t="s">
        <v>161</v>
      </c>
      <c r="I7" s="8" t="s">
        <v>35</v>
      </c>
      <c r="J7" s="8" t="s">
        <v>118</v>
      </c>
      <c r="K7" s="9" t="s">
        <v>432</v>
      </c>
      <c r="L7" s="10" t="s">
        <v>84</v>
      </c>
    </row>
    <row r="8" customFormat="false" ht="35.05" hidden="false" customHeight="false" outlineLevel="0" collapsed="false">
      <c r="A8" s="8" t="s">
        <v>113</v>
      </c>
      <c r="B8" s="9" t="s">
        <v>579</v>
      </c>
      <c r="C8" s="8" t="s">
        <v>139</v>
      </c>
      <c r="D8" s="8" t="s">
        <v>140</v>
      </c>
      <c r="E8" s="8" t="s">
        <v>142</v>
      </c>
      <c r="F8" s="8" t="s">
        <v>447</v>
      </c>
      <c r="G8" s="9"/>
      <c r="H8" s="8" t="s">
        <v>161</v>
      </c>
      <c r="I8" s="8" t="s">
        <v>652</v>
      </c>
      <c r="J8" s="8" t="s">
        <v>123</v>
      </c>
      <c r="K8" s="9" t="s">
        <v>141</v>
      </c>
      <c r="L8" s="10" t="s">
        <v>144</v>
      </c>
    </row>
    <row r="9" customFormat="false" ht="23.85" hidden="false" customHeight="false" outlineLevel="0" collapsed="false">
      <c r="A9" s="8" t="s">
        <v>113</v>
      </c>
      <c r="B9" s="9" t="s">
        <v>145</v>
      </c>
      <c r="C9" s="8" t="s">
        <v>146</v>
      </c>
      <c r="D9" s="8" t="s">
        <v>128</v>
      </c>
      <c r="E9" s="8" t="s">
        <v>148</v>
      </c>
      <c r="F9" s="8" t="s">
        <v>447</v>
      </c>
      <c r="G9" s="9"/>
      <c r="H9" s="8" t="s">
        <v>161</v>
      </c>
      <c r="I9" s="8" t="s">
        <v>652</v>
      </c>
      <c r="J9" s="8" t="s">
        <v>123</v>
      </c>
      <c r="K9" s="9" t="s">
        <v>147</v>
      </c>
      <c r="L9" s="10" t="s">
        <v>150</v>
      </c>
    </row>
    <row r="10" customFormat="false" ht="23.85" hidden="false" customHeight="false" outlineLevel="0" collapsed="false">
      <c r="A10" s="8" t="s">
        <v>113</v>
      </c>
      <c r="B10" s="9" t="s">
        <v>580</v>
      </c>
      <c r="C10" s="8" t="s">
        <v>155</v>
      </c>
      <c r="D10" s="8" t="s">
        <v>135</v>
      </c>
      <c r="E10" s="8"/>
      <c r="F10" s="8" t="s">
        <v>447</v>
      </c>
      <c r="G10" s="9"/>
      <c r="H10" s="8" t="s">
        <v>161</v>
      </c>
      <c r="I10" s="8" t="s">
        <v>449</v>
      </c>
      <c r="J10" s="8" t="s">
        <v>118</v>
      </c>
      <c r="K10" s="9" t="s">
        <v>653</v>
      </c>
      <c r="L10" s="10" t="s">
        <v>84</v>
      </c>
    </row>
    <row r="11" customFormat="false" ht="23.85" hidden="false" customHeight="false" outlineLevel="0" collapsed="false">
      <c r="A11" s="8" t="s">
        <v>113</v>
      </c>
      <c r="B11" s="9" t="s">
        <v>434</v>
      </c>
      <c r="C11" s="8" t="s">
        <v>435</v>
      </c>
      <c r="D11" s="8" t="s">
        <v>135</v>
      </c>
      <c r="E11" s="8"/>
      <c r="F11" s="8"/>
      <c r="G11" s="9"/>
      <c r="H11" s="8" t="s">
        <v>161</v>
      </c>
      <c r="I11" s="8" t="s">
        <v>35</v>
      </c>
      <c r="J11" s="8" t="s">
        <v>118</v>
      </c>
      <c r="K11" s="9" t="s">
        <v>436</v>
      </c>
      <c r="L11" s="10" t="s">
        <v>84</v>
      </c>
    </row>
    <row r="12" customFormat="false" ht="23.85" hidden="false" customHeight="false" outlineLevel="0" collapsed="false">
      <c r="A12" s="8" t="s">
        <v>113</v>
      </c>
      <c r="B12" s="9" t="s">
        <v>437</v>
      </c>
      <c r="C12" s="8" t="s">
        <v>438</v>
      </c>
      <c r="D12" s="8" t="s">
        <v>135</v>
      </c>
      <c r="E12" s="8"/>
      <c r="F12" s="8"/>
      <c r="G12" s="9"/>
      <c r="H12" s="8" t="s">
        <v>161</v>
      </c>
      <c r="I12" s="8" t="s">
        <v>35</v>
      </c>
      <c r="J12" s="8" t="s">
        <v>118</v>
      </c>
      <c r="K12" s="9" t="s">
        <v>439</v>
      </c>
      <c r="L12" s="10" t="s">
        <v>84</v>
      </c>
    </row>
    <row r="13" customFormat="false" ht="23.85" hidden="false" customHeight="false" outlineLevel="0" collapsed="false">
      <c r="A13" s="8" t="s">
        <v>113</v>
      </c>
      <c r="B13" s="9" t="s">
        <v>440</v>
      </c>
      <c r="C13" s="8" t="s">
        <v>441</v>
      </c>
      <c r="D13" s="8" t="s">
        <v>140</v>
      </c>
      <c r="E13" s="8"/>
      <c r="F13" s="8"/>
      <c r="G13" s="9"/>
      <c r="H13" s="8" t="s">
        <v>443</v>
      </c>
      <c r="I13" s="8" t="s">
        <v>35</v>
      </c>
      <c r="J13" s="8" t="s">
        <v>118</v>
      </c>
      <c r="K13" s="9" t="s">
        <v>442</v>
      </c>
      <c r="L13" s="10" t="s">
        <v>81</v>
      </c>
    </row>
    <row r="14" customFormat="false" ht="15" hidden="false" customHeight="false" outlineLevel="0" collapsed="false">
      <c r="A14" s="8" t="s">
        <v>444</v>
      </c>
      <c r="B14" s="9" t="s">
        <v>248</v>
      </c>
      <c r="C14" s="8" t="s">
        <v>249</v>
      </c>
      <c r="D14" s="8" t="s">
        <v>116</v>
      </c>
      <c r="E14" s="8" t="s">
        <v>250</v>
      </c>
      <c r="F14" s="8" t="s">
        <v>447</v>
      </c>
      <c r="G14" s="9"/>
      <c r="H14" s="8"/>
      <c r="I14" s="8" t="s">
        <v>654</v>
      </c>
      <c r="J14" s="8" t="s">
        <v>123</v>
      </c>
      <c r="K14" s="9"/>
      <c r="L14" s="10" t="s">
        <v>252</v>
      </c>
    </row>
    <row r="15" customFormat="false" ht="46.25" hidden="false" customHeight="false" outlineLevel="0" collapsed="false">
      <c r="A15" s="8" t="s">
        <v>444</v>
      </c>
      <c r="B15" s="9" t="s">
        <v>253</v>
      </c>
      <c r="C15" s="8" t="s">
        <v>254</v>
      </c>
      <c r="D15" s="8" t="s">
        <v>135</v>
      </c>
      <c r="E15" s="8" t="s">
        <v>256</v>
      </c>
      <c r="F15" s="8" t="s">
        <v>447</v>
      </c>
      <c r="G15" s="9"/>
      <c r="H15" s="8"/>
      <c r="I15" s="8" t="s">
        <v>654</v>
      </c>
      <c r="J15" s="8" t="s">
        <v>123</v>
      </c>
      <c r="K15" s="9" t="s">
        <v>255</v>
      </c>
      <c r="L15" s="10" t="s">
        <v>258</v>
      </c>
    </row>
    <row r="16" customFormat="false" ht="23.85" hidden="false" customHeight="false" outlineLevel="0" collapsed="false">
      <c r="A16" s="8" t="s">
        <v>444</v>
      </c>
      <c r="B16" s="9" t="s">
        <v>259</v>
      </c>
      <c r="C16" s="8" t="s">
        <v>260</v>
      </c>
      <c r="D16" s="8" t="s">
        <v>135</v>
      </c>
      <c r="E16" s="8" t="s">
        <v>262</v>
      </c>
      <c r="F16" s="8" t="s">
        <v>447</v>
      </c>
      <c r="G16" s="9"/>
      <c r="H16" s="8"/>
      <c r="I16" s="8" t="s">
        <v>654</v>
      </c>
      <c r="J16" s="8" t="s">
        <v>123</v>
      </c>
      <c r="K16" s="9" t="s">
        <v>261</v>
      </c>
      <c r="L16" s="10" t="s">
        <v>264</v>
      </c>
    </row>
    <row r="17" customFormat="false" ht="15" hidden="false" customHeight="false" outlineLevel="0" collapsed="false">
      <c r="A17" s="8" t="s">
        <v>444</v>
      </c>
      <c r="B17" s="9" t="s">
        <v>265</v>
      </c>
      <c r="C17" s="8" t="s">
        <v>266</v>
      </c>
      <c r="D17" s="8" t="s">
        <v>116</v>
      </c>
      <c r="E17" s="8" t="s">
        <v>267</v>
      </c>
      <c r="F17" s="8" t="s">
        <v>447</v>
      </c>
      <c r="G17" s="9"/>
      <c r="H17" s="8"/>
      <c r="I17" s="8" t="s">
        <v>654</v>
      </c>
      <c r="J17" s="8" t="s">
        <v>268</v>
      </c>
      <c r="K17" s="9"/>
      <c r="L17" s="10" t="s">
        <v>270</v>
      </c>
    </row>
    <row r="18" customFormat="false" ht="15" hidden="false" customHeight="false" outlineLevel="0" collapsed="false">
      <c r="A18" s="8" t="s">
        <v>444</v>
      </c>
      <c r="B18" s="9" t="s">
        <v>271</v>
      </c>
      <c r="C18" s="8" t="s">
        <v>272</v>
      </c>
      <c r="D18" s="8" t="s">
        <v>135</v>
      </c>
      <c r="E18" s="8" t="s">
        <v>274</v>
      </c>
      <c r="F18" s="8" t="s">
        <v>447</v>
      </c>
      <c r="G18" s="9"/>
      <c r="H18" s="8"/>
      <c r="I18" s="8" t="s">
        <v>654</v>
      </c>
      <c r="J18" s="8" t="s">
        <v>268</v>
      </c>
      <c r="K18" s="9" t="s">
        <v>273</v>
      </c>
      <c r="L18" s="10" t="s">
        <v>276</v>
      </c>
    </row>
    <row r="19" customFormat="false" ht="23.85" hidden="false" customHeight="false" outlineLevel="0" collapsed="false">
      <c r="A19" s="8" t="s">
        <v>444</v>
      </c>
      <c r="B19" s="9" t="s">
        <v>277</v>
      </c>
      <c r="C19" s="8" t="s">
        <v>278</v>
      </c>
      <c r="D19" s="8" t="s">
        <v>135</v>
      </c>
      <c r="E19" s="8" t="s">
        <v>280</v>
      </c>
      <c r="F19" s="8" t="s">
        <v>447</v>
      </c>
      <c r="G19" s="9"/>
      <c r="H19" s="8"/>
      <c r="I19" s="8" t="s">
        <v>654</v>
      </c>
      <c r="J19" s="8" t="s">
        <v>268</v>
      </c>
      <c r="K19" s="9" t="s">
        <v>655</v>
      </c>
      <c r="L19" s="10" t="s">
        <v>282</v>
      </c>
    </row>
    <row r="20" customFormat="false" ht="15" hidden="false" customHeight="false" outlineLevel="0" collapsed="false">
      <c r="A20" s="8" t="s">
        <v>444</v>
      </c>
      <c r="B20" s="9" t="s">
        <v>445</v>
      </c>
      <c r="C20" s="8" t="s">
        <v>446</v>
      </c>
      <c r="D20" s="8" t="s">
        <v>308</v>
      </c>
      <c r="E20" s="8"/>
      <c r="F20" s="8" t="s">
        <v>447</v>
      </c>
      <c r="G20" s="9"/>
      <c r="H20" s="8" t="s">
        <v>448</v>
      </c>
      <c r="I20" s="8" t="s">
        <v>449</v>
      </c>
      <c r="J20" s="8" t="s">
        <v>118</v>
      </c>
      <c r="K20" s="9"/>
      <c r="L20" s="10" t="s">
        <v>81</v>
      </c>
    </row>
    <row r="21" customFormat="false" ht="23.85" hidden="false" customHeight="false" outlineLevel="0" collapsed="false">
      <c r="A21" s="8" t="s">
        <v>581</v>
      </c>
      <c r="B21" s="9" t="s">
        <v>283</v>
      </c>
      <c r="C21" s="8" t="s">
        <v>284</v>
      </c>
      <c r="D21" s="8" t="s">
        <v>135</v>
      </c>
      <c r="E21" s="8" t="s">
        <v>286</v>
      </c>
      <c r="F21" s="8" t="s">
        <v>447</v>
      </c>
      <c r="G21" s="9"/>
      <c r="H21" s="8"/>
      <c r="I21" s="8" t="s">
        <v>654</v>
      </c>
      <c r="J21" s="8" t="s">
        <v>268</v>
      </c>
      <c r="K21" s="9" t="s">
        <v>656</v>
      </c>
      <c r="L21" s="10" t="s">
        <v>288</v>
      </c>
    </row>
    <row r="22" customFormat="false" ht="15" hidden="false" customHeight="false" outlineLevel="0" collapsed="false">
      <c r="A22" s="8" t="s">
        <v>581</v>
      </c>
      <c r="B22" s="9" t="s">
        <v>289</v>
      </c>
      <c r="C22" s="8" t="s">
        <v>290</v>
      </c>
      <c r="D22" s="8" t="s">
        <v>135</v>
      </c>
      <c r="E22" s="8" t="s">
        <v>292</v>
      </c>
      <c r="F22" s="8" t="s">
        <v>447</v>
      </c>
      <c r="G22" s="9"/>
      <c r="H22" s="8"/>
      <c r="I22" s="8" t="s">
        <v>654</v>
      </c>
      <c r="J22" s="8" t="s">
        <v>268</v>
      </c>
      <c r="K22" s="9" t="s">
        <v>657</v>
      </c>
      <c r="L22" s="10" t="s">
        <v>295</v>
      </c>
    </row>
    <row r="23" customFormat="false" ht="15" hidden="false" customHeight="false" outlineLevel="0" collapsed="false">
      <c r="A23" s="8" t="s">
        <v>581</v>
      </c>
      <c r="B23" s="9" t="s">
        <v>296</v>
      </c>
      <c r="C23" s="8" t="s">
        <v>297</v>
      </c>
      <c r="D23" s="8" t="s">
        <v>135</v>
      </c>
      <c r="E23" s="8" t="s">
        <v>298</v>
      </c>
      <c r="F23" s="8" t="s">
        <v>447</v>
      </c>
      <c r="G23" s="9"/>
      <c r="H23" s="8"/>
      <c r="I23" s="8" t="s">
        <v>654</v>
      </c>
      <c r="J23" s="8" t="s">
        <v>268</v>
      </c>
      <c r="K23" s="9" t="s">
        <v>657</v>
      </c>
      <c r="L23" s="10" t="s">
        <v>300</v>
      </c>
    </row>
    <row r="24" customFormat="false" ht="15" hidden="false" customHeight="false" outlineLevel="0" collapsed="false">
      <c r="A24" s="8" t="s">
        <v>581</v>
      </c>
      <c r="B24" s="9" t="s">
        <v>301</v>
      </c>
      <c r="C24" s="8" t="s">
        <v>302</v>
      </c>
      <c r="D24" s="8" t="s">
        <v>135</v>
      </c>
      <c r="E24" s="8" t="s">
        <v>303</v>
      </c>
      <c r="F24" s="8" t="s">
        <v>447</v>
      </c>
      <c r="G24" s="9"/>
      <c r="H24" s="8"/>
      <c r="I24" s="8" t="s">
        <v>654</v>
      </c>
      <c r="J24" s="8" t="s">
        <v>268</v>
      </c>
      <c r="K24" s="9" t="s">
        <v>657</v>
      </c>
      <c r="L24" s="10" t="s">
        <v>305</v>
      </c>
    </row>
    <row r="25" customFormat="false" ht="15" hidden="false" customHeight="false" outlineLevel="0" collapsed="false">
      <c r="A25" s="8" t="s">
        <v>582</v>
      </c>
      <c r="B25" s="9" t="s">
        <v>306</v>
      </c>
      <c r="C25" s="8" t="s">
        <v>307</v>
      </c>
      <c r="D25" s="8" t="s">
        <v>308</v>
      </c>
      <c r="E25" s="8" t="s">
        <v>309</v>
      </c>
      <c r="F25" s="8" t="s">
        <v>447</v>
      </c>
      <c r="G25" s="9"/>
      <c r="H25" s="8"/>
      <c r="I25" s="8" t="s">
        <v>654</v>
      </c>
      <c r="J25" s="8" t="s">
        <v>123</v>
      </c>
      <c r="K25" s="9"/>
      <c r="L25" s="10" t="s">
        <v>311</v>
      </c>
    </row>
    <row r="26" customFormat="false" ht="15" hidden="false" customHeight="false" outlineLevel="0" collapsed="false">
      <c r="A26" s="8" t="s">
        <v>582</v>
      </c>
      <c r="B26" s="9" t="s">
        <v>312</v>
      </c>
      <c r="C26" s="8" t="s">
        <v>313</v>
      </c>
      <c r="D26" s="8" t="s">
        <v>308</v>
      </c>
      <c r="E26" s="8" t="s">
        <v>314</v>
      </c>
      <c r="F26" s="8" t="s">
        <v>447</v>
      </c>
      <c r="G26" s="9"/>
      <c r="H26" s="8"/>
      <c r="I26" s="8" t="s">
        <v>654</v>
      </c>
      <c r="J26" s="8" t="s">
        <v>123</v>
      </c>
      <c r="K26" s="9"/>
      <c r="L26" s="10" t="s">
        <v>316</v>
      </c>
    </row>
    <row r="27" customFormat="false" ht="15" hidden="false" customHeight="false" outlineLevel="0" collapsed="false">
      <c r="A27" s="8" t="s">
        <v>582</v>
      </c>
      <c r="B27" s="9" t="s">
        <v>317</v>
      </c>
      <c r="C27" s="8" t="s">
        <v>318</v>
      </c>
      <c r="D27" s="8" t="s">
        <v>308</v>
      </c>
      <c r="E27" s="8" t="s">
        <v>319</v>
      </c>
      <c r="F27" s="8" t="s">
        <v>447</v>
      </c>
      <c r="G27" s="9"/>
      <c r="H27" s="8"/>
      <c r="I27" s="8" t="s">
        <v>654</v>
      </c>
      <c r="J27" s="8" t="s">
        <v>123</v>
      </c>
      <c r="K27" s="9"/>
      <c r="L27" s="10" t="s">
        <v>321</v>
      </c>
    </row>
    <row r="28" customFormat="false" ht="15" hidden="false" customHeight="false" outlineLevel="0" collapsed="false">
      <c r="A28" s="8" t="s">
        <v>582</v>
      </c>
      <c r="B28" s="9" t="s">
        <v>322</v>
      </c>
      <c r="C28" s="8" t="s">
        <v>323</v>
      </c>
      <c r="D28" s="8" t="s">
        <v>308</v>
      </c>
      <c r="E28" s="8" t="s">
        <v>324</v>
      </c>
      <c r="F28" s="8" t="s">
        <v>447</v>
      </c>
      <c r="G28" s="9"/>
      <c r="H28" s="8"/>
      <c r="I28" s="8" t="s">
        <v>654</v>
      </c>
      <c r="J28" s="8" t="s">
        <v>123</v>
      </c>
      <c r="K28" s="9"/>
      <c r="L28" s="10" t="s">
        <v>326</v>
      </c>
    </row>
    <row r="29" customFormat="false" ht="15" hidden="false" customHeight="false" outlineLevel="0" collapsed="false">
      <c r="A29" s="8" t="s">
        <v>582</v>
      </c>
      <c r="B29" s="9" t="s">
        <v>583</v>
      </c>
      <c r="C29" s="8" t="s">
        <v>328</v>
      </c>
      <c r="D29" s="8" t="s">
        <v>308</v>
      </c>
      <c r="E29" s="8" t="s">
        <v>329</v>
      </c>
      <c r="F29" s="8" t="s">
        <v>447</v>
      </c>
      <c r="G29" s="9"/>
      <c r="H29" s="8"/>
      <c r="I29" s="8" t="s">
        <v>654</v>
      </c>
      <c r="J29" s="8" t="s">
        <v>123</v>
      </c>
      <c r="K29" s="9"/>
      <c r="L29" s="10" t="s">
        <v>331</v>
      </c>
    </row>
    <row r="30" customFormat="false" ht="15" hidden="false" customHeight="false" outlineLevel="0" collapsed="false">
      <c r="A30" s="8" t="s">
        <v>584</v>
      </c>
      <c r="B30" s="9" t="s">
        <v>332</v>
      </c>
      <c r="C30" s="8" t="s">
        <v>333</v>
      </c>
      <c r="D30" s="8" t="s">
        <v>116</v>
      </c>
      <c r="E30" s="8" t="s">
        <v>334</v>
      </c>
      <c r="F30" s="8" t="s">
        <v>447</v>
      </c>
      <c r="G30" s="9"/>
      <c r="H30" s="8"/>
      <c r="I30" s="8" t="s">
        <v>654</v>
      </c>
      <c r="J30" s="8" t="s">
        <v>123</v>
      </c>
      <c r="K30" s="9"/>
      <c r="L30" s="10" t="s">
        <v>336</v>
      </c>
    </row>
    <row r="31" customFormat="false" ht="15" hidden="false" customHeight="false" outlineLevel="0" collapsed="false">
      <c r="A31" s="8" t="s">
        <v>584</v>
      </c>
      <c r="B31" s="9" t="s">
        <v>337</v>
      </c>
      <c r="C31" s="8" t="s">
        <v>338</v>
      </c>
      <c r="D31" s="8" t="s">
        <v>135</v>
      </c>
      <c r="E31" s="8" t="s">
        <v>340</v>
      </c>
      <c r="F31" s="8" t="s">
        <v>447</v>
      </c>
      <c r="G31" s="9"/>
      <c r="H31" s="8"/>
      <c r="I31" s="8" t="s">
        <v>654</v>
      </c>
      <c r="J31" s="8" t="s">
        <v>245</v>
      </c>
      <c r="K31" s="9" t="s">
        <v>339</v>
      </c>
      <c r="L31" s="10" t="s">
        <v>342</v>
      </c>
    </row>
    <row r="32" customFormat="false" ht="15" hidden="false" customHeight="false" outlineLevel="0" collapsed="false">
      <c r="A32" s="8" t="s">
        <v>343</v>
      </c>
      <c r="B32" s="9" t="s">
        <v>585</v>
      </c>
      <c r="C32" s="8" t="s">
        <v>345</v>
      </c>
      <c r="D32" s="8" t="s">
        <v>128</v>
      </c>
      <c r="E32" s="8"/>
      <c r="F32" s="8" t="s">
        <v>447</v>
      </c>
      <c r="G32" s="9"/>
      <c r="H32" s="8" t="s">
        <v>452</v>
      </c>
      <c r="I32" s="8" t="s">
        <v>449</v>
      </c>
      <c r="J32" s="8" t="s">
        <v>118</v>
      </c>
      <c r="K32" s="9" t="s">
        <v>346</v>
      </c>
      <c r="L32" s="10" t="s">
        <v>81</v>
      </c>
    </row>
    <row r="33" customFormat="false" ht="23.85" hidden="false" customHeight="false" outlineLevel="0" collapsed="false">
      <c r="A33" s="8" t="s">
        <v>343</v>
      </c>
      <c r="B33" s="9" t="s">
        <v>586</v>
      </c>
      <c r="C33" s="8" t="s">
        <v>348</v>
      </c>
      <c r="D33" s="8" t="s">
        <v>128</v>
      </c>
      <c r="E33" s="8"/>
      <c r="F33" s="8" t="s">
        <v>447</v>
      </c>
      <c r="G33" s="9"/>
      <c r="H33" s="8"/>
      <c r="I33" s="8" t="s">
        <v>18</v>
      </c>
      <c r="J33" s="8" t="s">
        <v>118</v>
      </c>
      <c r="K33" s="9" t="s">
        <v>349</v>
      </c>
      <c r="L33" s="8"/>
    </row>
    <row r="34" customFormat="false" ht="23.85" hidden="false" customHeight="false" outlineLevel="0" collapsed="false">
      <c r="A34" s="8" t="s">
        <v>343</v>
      </c>
      <c r="B34" s="9" t="s">
        <v>587</v>
      </c>
      <c r="C34" s="8" t="s">
        <v>351</v>
      </c>
      <c r="D34" s="8" t="s">
        <v>128</v>
      </c>
      <c r="E34" s="8"/>
      <c r="F34" s="8" t="s">
        <v>447</v>
      </c>
      <c r="G34" s="9"/>
      <c r="H34" s="8"/>
      <c r="I34" s="8" t="s">
        <v>18</v>
      </c>
      <c r="J34" s="8" t="s">
        <v>118</v>
      </c>
      <c r="K34" s="9" t="s">
        <v>352</v>
      </c>
      <c r="L34" s="8"/>
    </row>
    <row r="35" customFormat="false" ht="15" hidden="false" customHeight="false" outlineLevel="0" collapsed="false">
      <c r="A35" s="8" t="s">
        <v>343</v>
      </c>
      <c r="B35" s="9" t="s">
        <v>450</v>
      </c>
      <c r="C35" s="8" t="s">
        <v>451</v>
      </c>
      <c r="D35" s="8" t="s">
        <v>116</v>
      </c>
      <c r="E35" s="8"/>
      <c r="F35" s="8"/>
      <c r="G35" s="9"/>
      <c r="H35" s="8" t="s">
        <v>452</v>
      </c>
      <c r="I35" s="8" t="s">
        <v>35</v>
      </c>
      <c r="J35" s="8" t="s">
        <v>118</v>
      </c>
      <c r="K35" s="9"/>
      <c r="L35" s="10" t="s">
        <v>81</v>
      </c>
    </row>
    <row r="36" customFormat="false" ht="23.85" hidden="false" customHeight="false" outlineLevel="0" collapsed="false">
      <c r="A36" s="8" t="s">
        <v>453</v>
      </c>
      <c r="B36" s="9" t="s">
        <v>454</v>
      </c>
      <c r="C36" s="8" t="s">
        <v>455</v>
      </c>
      <c r="D36" s="8" t="s">
        <v>135</v>
      </c>
      <c r="E36" s="8"/>
      <c r="F36" s="8" t="s">
        <v>447</v>
      </c>
      <c r="G36" s="9"/>
      <c r="H36" s="8" t="s">
        <v>453</v>
      </c>
      <c r="I36" s="8" t="s">
        <v>449</v>
      </c>
      <c r="J36" s="8" t="s">
        <v>118</v>
      </c>
      <c r="K36" s="9" t="s">
        <v>456</v>
      </c>
      <c r="L36" s="10" t="s">
        <v>81</v>
      </c>
    </row>
    <row r="37" customFormat="false" ht="15" hidden="false" customHeight="false" outlineLevel="0" collapsed="false">
      <c r="A37" s="8" t="s">
        <v>453</v>
      </c>
      <c r="B37" s="9" t="s">
        <v>457</v>
      </c>
      <c r="C37" s="8" t="s">
        <v>458</v>
      </c>
      <c r="D37" s="8" t="s">
        <v>116</v>
      </c>
      <c r="E37" s="8"/>
      <c r="F37" s="8" t="s">
        <v>447</v>
      </c>
      <c r="G37" s="9"/>
      <c r="H37" s="8" t="s">
        <v>453</v>
      </c>
      <c r="I37" s="8" t="s">
        <v>449</v>
      </c>
      <c r="J37" s="8" t="s">
        <v>118</v>
      </c>
      <c r="K37" s="9"/>
      <c r="L37" s="10" t="s">
        <v>81</v>
      </c>
    </row>
    <row r="38" customFormat="false" ht="23.85" hidden="false" customHeight="false" outlineLevel="0" collapsed="false">
      <c r="A38" s="8" t="s">
        <v>453</v>
      </c>
      <c r="B38" s="9" t="s">
        <v>459</v>
      </c>
      <c r="C38" s="8" t="s">
        <v>460</v>
      </c>
      <c r="D38" s="8" t="s">
        <v>135</v>
      </c>
      <c r="E38" s="8"/>
      <c r="F38" s="8" t="s">
        <v>447</v>
      </c>
      <c r="G38" s="9"/>
      <c r="H38" s="8" t="s">
        <v>453</v>
      </c>
      <c r="I38" s="8" t="s">
        <v>449</v>
      </c>
      <c r="J38" s="8" t="s">
        <v>118</v>
      </c>
      <c r="K38" s="9" t="s">
        <v>461</v>
      </c>
      <c r="L38" s="10" t="s">
        <v>81</v>
      </c>
    </row>
    <row r="39" customFormat="false" ht="15" hidden="false" customHeight="false" outlineLevel="0" collapsed="false">
      <c r="A39" s="8" t="s">
        <v>365</v>
      </c>
      <c r="B39" s="9" t="s">
        <v>658</v>
      </c>
      <c r="C39" s="8" t="s">
        <v>367</v>
      </c>
      <c r="D39" s="8" t="s">
        <v>308</v>
      </c>
      <c r="E39" s="8"/>
      <c r="F39" s="8"/>
      <c r="G39" s="9"/>
      <c r="H39" s="8"/>
      <c r="I39" s="8" t="s">
        <v>117</v>
      </c>
      <c r="J39" s="8" t="s">
        <v>118</v>
      </c>
      <c r="K39" s="9"/>
      <c r="L39" s="8"/>
    </row>
    <row r="40" customFormat="false" ht="23.85" hidden="false" customHeight="false" outlineLevel="0" collapsed="false">
      <c r="A40" s="8" t="s">
        <v>365</v>
      </c>
      <c r="B40" s="9" t="s">
        <v>659</v>
      </c>
      <c r="C40" s="8" t="s">
        <v>369</v>
      </c>
      <c r="D40" s="8" t="s">
        <v>140</v>
      </c>
      <c r="E40" s="8"/>
      <c r="F40" s="8"/>
      <c r="G40" s="9"/>
      <c r="H40" s="8"/>
      <c r="I40" s="8" t="s">
        <v>117</v>
      </c>
      <c r="J40" s="8" t="s">
        <v>118</v>
      </c>
      <c r="K40" s="9" t="s">
        <v>660</v>
      </c>
      <c r="L40" s="8"/>
    </row>
    <row r="41" customFormat="false" ht="15" hidden="false" customHeight="false" outlineLevel="0" collapsed="false">
      <c r="A41" s="8" t="s">
        <v>365</v>
      </c>
      <c r="B41" s="9" t="s">
        <v>462</v>
      </c>
      <c r="C41" s="8" t="s">
        <v>463</v>
      </c>
      <c r="D41" s="8" t="s">
        <v>308</v>
      </c>
      <c r="E41" s="8"/>
      <c r="F41" s="8"/>
      <c r="G41" s="9"/>
      <c r="H41" s="8"/>
      <c r="I41" s="8" t="s">
        <v>117</v>
      </c>
      <c r="J41" s="8" t="s">
        <v>118</v>
      </c>
      <c r="K41" s="9"/>
      <c r="L41" s="8"/>
    </row>
    <row r="42" customFormat="false" ht="23.85" hidden="false" customHeight="false" outlineLevel="0" collapsed="false">
      <c r="A42" s="8" t="s">
        <v>365</v>
      </c>
      <c r="B42" s="9" t="s">
        <v>661</v>
      </c>
      <c r="C42" s="8" t="s">
        <v>388</v>
      </c>
      <c r="D42" s="8" t="s">
        <v>140</v>
      </c>
      <c r="E42" s="8"/>
      <c r="F42" s="8"/>
      <c r="G42" s="9"/>
      <c r="H42" s="8"/>
      <c r="I42" s="8" t="s">
        <v>117</v>
      </c>
      <c r="J42" s="8" t="s">
        <v>118</v>
      </c>
      <c r="K42" s="9" t="s">
        <v>662</v>
      </c>
      <c r="L42" s="8"/>
    </row>
    <row r="43" customFormat="false" ht="15" hidden="false" customHeight="false" outlineLevel="0" collapsed="false">
      <c r="A43" s="8" t="s">
        <v>464</v>
      </c>
      <c r="B43" s="9" t="s">
        <v>465</v>
      </c>
      <c r="C43" s="8" t="s">
        <v>466</v>
      </c>
      <c r="D43" s="8" t="s">
        <v>308</v>
      </c>
      <c r="E43" s="8"/>
      <c r="F43" s="8" t="s">
        <v>447</v>
      </c>
      <c r="G43" s="9"/>
      <c r="H43" s="8" t="s">
        <v>448</v>
      </c>
      <c r="I43" s="8" t="s">
        <v>449</v>
      </c>
      <c r="J43" s="8" t="s">
        <v>118</v>
      </c>
      <c r="K43" s="9"/>
      <c r="L43" s="10" t="s">
        <v>81</v>
      </c>
    </row>
    <row r="44" customFormat="false" ht="23.85" hidden="false" customHeight="false" outlineLevel="0" collapsed="false">
      <c r="A44" s="8" t="s">
        <v>464</v>
      </c>
      <c r="B44" s="9" t="s">
        <v>467</v>
      </c>
      <c r="C44" s="8" t="s">
        <v>468</v>
      </c>
      <c r="D44" s="8" t="s">
        <v>140</v>
      </c>
      <c r="E44" s="8"/>
      <c r="F44" s="8" t="s">
        <v>447</v>
      </c>
      <c r="G44" s="9"/>
      <c r="H44" s="8" t="s">
        <v>448</v>
      </c>
      <c r="I44" s="8" t="s">
        <v>449</v>
      </c>
      <c r="J44" s="8" t="s">
        <v>123</v>
      </c>
      <c r="K44" s="9" t="s">
        <v>469</v>
      </c>
      <c r="L44" s="10" t="s">
        <v>81</v>
      </c>
    </row>
    <row r="45" customFormat="false" ht="15" hidden="false" customHeight="false" outlineLevel="0" collapsed="false">
      <c r="A45" s="8" t="s">
        <v>470</v>
      </c>
      <c r="B45" s="9" t="s">
        <v>471</v>
      </c>
      <c r="C45" s="8" t="s">
        <v>472</v>
      </c>
      <c r="D45" s="8" t="s">
        <v>308</v>
      </c>
      <c r="E45" s="8"/>
      <c r="F45" s="8"/>
      <c r="G45" s="9"/>
      <c r="H45" s="8" t="s">
        <v>443</v>
      </c>
      <c r="I45" s="8" t="s">
        <v>35</v>
      </c>
      <c r="J45" s="8" t="s">
        <v>118</v>
      </c>
      <c r="K45" s="9"/>
      <c r="L45" s="10" t="s">
        <v>81</v>
      </c>
    </row>
    <row r="46" customFormat="false" ht="15" hidden="false" customHeight="false" outlineLevel="0" collapsed="false">
      <c r="A46" s="8" t="s">
        <v>470</v>
      </c>
      <c r="B46" s="9" t="s">
        <v>473</v>
      </c>
      <c r="C46" s="8" t="s">
        <v>474</v>
      </c>
      <c r="D46" s="8" t="s">
        <v>128</v>
      </c>
      <c r="E46" s="8"/>
      <c r="F46" s="8"/>
      <c r="G46" s="9"/>
      <c r="H46" s="8" t="s">
        <v>476</v>
      </c>
      <c r="I46" s="8" t="s">
        <v>35</v>
      </c>
      <c r="J46" s="8" t="s">
        <v>118</v>
      </c>
      <c r="K46" s="9" t="s">
        <v>475</v>
      </c>
      <c r="L46" s="10" t="s">
        <v>81</v>
      </c>
    </row>
    <row r="47" customFormat="false" ht="15" hidden="false" customHeight="false" outlineLevel="0" collapsed="false">
      <c r="A47" s="8" t="s">
        <v>470</v>
      </c>
      <c r="B47" s="9" t="s">
        <v>477</v>
      </c>
      <c r="C47" s="8" t="s">
        <v>478</v>
      </c>
      <c r="D47" s="8" t="s">
        <v>308</v>
      </c>
      <c r="E47" s="8"/>
      <c r="F47" s="8"/>
      <c r="G47" s="9"/>
      <c r="H47" s="8" t="s">
        <v>476</v>
      </c>
      <c r="I47" s="8" t="s">
        <v>35</v>
      </c>
      <c r="J47" s="8" t="s">
        <v>118</v>
      </c>
      <c r="K47" s="9"/>
      <c r="L47" s="10" t="s">
        <v>81</v>
      </c>
    </row>
    <row r="48" customFormat="false" ht="23.85" hidden="false" customHeight="false" outlineLevel="0" collapsed="false">
      <c r="A48" s="8" t="s">
        <v>470</v>
      </c>
      <c r="B48" s="9" t="s">
        <v>479</v>
      </c>
      <c r="C48" s="8" t="s">
        <v>480</v>
      </c>
      <c r="D48" s="8" t="s">
        <v>128</v>
      </c>
      <c r="E48" s="8"/>
      <c r="F48" s="8"/>
      <c r="G48" s="9"/>
      <c r="H48" s="8" t="s">
        <v>476</v>
      </c>
      <c r="I48" s="8" t="s">
        <v>35</v>
      </c>
      <c r="J48" s="8" t="s">
        <v>118</v>
      </c>
      <c r="K48" s="9" t="s">
        <v>481</v>
      </c>
      <c r="L48" s="10" t="s">
        <v>81</v>
      </c>
    </row>
    <row r="49" customFormat="false" ht="23.85" hidden="false" customHeight="false" outlineLevel="0" collapsed="false">
      <c r="A49" s="8" t="s">
        <v>482</v>
      </c>
      <c r="B49" s="9" t="s">
        <v>483</v>
      </c>
      <c r="C49" s="8" t="s">
        <v>484</v>
      </c>
      <c r="D49" s="8" t="s">
        <v>128</v>
      </c>
      <c r="E49" s="8"/>
      <c r="F49" s="8" t="s">
        <v>447</v>
      </c>
      <c r="G49" s="9" t="s">
        <v>486</v>
      </c>
      <c r="H49" s="8"/>
      <c r="I49" s="8" t="s">
        <v>18</v>
      </c>
      <c r="J49" s="8" t="s">
        <v>118</v>
      </c>
      <c r="K49" s="9" t="s">
        <v>485</v>
      </c>
      <c r="L49" s="10" t="s">
        <v>53</v>
      </c>
    </row>
    <row r="50" customFormat="false" ht="23.85" hidden="false" customHeight="false" outlineLevel="0" collapsed="false">
      <c r="A50" s="8" t="s">
        <v>482</v>
      </c>
      <c r="B50" s="9" t="s">
        <v>487</v>
      </c>
      <c r="C50" s="8" t="s">
        <v>488</v>
      </c>
      <c r="D50" s="8" t="s">
        <v>128</v>
      </c>
      <c r="E50" s="8"/>
      <c r="F50" s="8" t="s">
        <v>447</v>
      </c>
      <c r="G50" s="9" t="s">
        <v>486</v>
      </c>
      <c r="H50" s="8"/>
      <c r="I50" s="8" t="s">
        <v>18</v>
      </c>
      <c r="J50" s="8" t="s">
        <v>118</v>
      </c>
      <c r="K50" s="9" t="s">
        <v>489</v>
      </c>
      <c r="L50" s="10" t="s">
        <v>53</v>
      </c>
    </row>
    <row r="51" customFormat="false" ht="23.85" hidden="false" customHeight="false" outlineLevel="0" collapsed="false">
      <c r="A51" s="8" t="s">
        <v>482</v>
      </c>
      <c r="B51" s="9" t="s">
        <v>490</v>
      </c>
      <c r="C51" s="8" t="s">
        <v>491</v>
      </c>
      <c r="D51" s="8" t="s">
        <v>128</v>
      </c>
      <c r="E51" s="8"/>
      <c r="F51" s="8" t="s">
        <v>447</v>
      </c>
      <c r="G51" s="9" t="s">
        <v>486</v>
      </c>
      <c r="H51" s="8"/>
      <c r="I51" s="8" t="s">
        <v>18</v>
      </c>
      <c r="J51" s="8" t="s">
        <v>118</v>
      </c>
      <c r="K51" s="9" t="s">
        <v>492</v>
      </c>
      <c r="L51" s="10" t="s">
        <v>53</v>
      </c>
    </row>
    <row r="52" customFormat="false" ht="23.85" hidden="false" customHeight="false" outlineLevel="0" collapsed="false">
      <c r="A52" s="8" t="s">
        <v>482</v>
      </c>
      <c r="B52" s="9" t="s">
        <v>493</v>
      </c>
      <c r="C52" s="8" t="s">
        <v>494</v>
      </c>
      <c r="D52" s="8" t="s">
        <v>128</v>
      </c>
      <c r="E52" s="8"/>
      <c r="F52" s="8" t="s">
        <v>447</v>
      </c>
      <c r="G52" s="9" t="s">
        <v>486</v>
      </c>
      <c r="H52" s="8"/>
      <c r="I52" s="8" t="s">
        <v>18</v>
      </c>
      <c r="J52" s="8" t="s">
        <v>118</v>
      </c>
      <c r="K52" s="9" t="s">
        <v>485</v>
      </c>
      <c r="L52" s="10" t="s">
        <v>53</v>
      </c>
    </row>
    <row r="53" customFormat="false" ht="23.85" hidden="false" customHeight="false" outlineLevel="0" collapsed="false">
      <c r="A53" s="8" t="s">
        <v>495</v>
      </c>
      <c r="B53" s="9" t="s">
        <v>496</v>
      </c>
      <c r="C53" s="8" t="s">
        <v>497</v>
      </c>
      <c r="D53" s="8" t="s">
        <v>116</v>
      </c>
      <c r="E53" s="8"/>
      <c r="F53" s="8" t="s">
        <v>447</v>
      </c>
      <c r="G53" s="9" t="s">
        <v>498</v>
      </c>
      <c r="H53" s="8"/>
      <c r="I53" s="8" t="s">
        <v>18</v>
      </c>
      <c r="J53" s="8" t="s">
        <v>123</v>
      </c>
      <c r="K53" s="9"/>
      <c r="L53" s="10" t="s">
        <v>53</v>
      </c>
    </row>
    <row r="54" customFormat="false" ht="15" hidden="false" customHeight="false" outlineLevel="0" collapsed="false">
      <c r="A54" s="8" t="s">
        <v>495</v>
      </c>
      <c r="B54" s="9" t="s">
        <v>499</v>
      </c>
      <c r="C54" s="8" t="s">
        <v>500</v>
      </c>
      <c r="D54" s="8" t="s">
        <v>116</v>
      </c>
      <c r="E54" s="8"/>
      <c r="F54" s="8" t="s">
        <v>447</v>
      </c>
      <c r="G54" s="9" t="s">
        <v>501</v>
      </c>
      <c r="H54" s="8"/>
      <c r="I54" s="8" t="s">
        <v>18</v>
      </c>
      <c r="J54" s="8" t="s">
        <v>123</v>
      </c>
      <c r="K54" s="9"/>
      <c r="L54" s="10" t="s">
        <v>53</v>
      </c>
    </row>
    <row r="55" customFormat="false" ht="15" hidden="false" customHeight="false" outlineLevel="0" collapsed="false">
      <c r="A55" s="8" t="s">
        <v>495</v>
      </c>
      <c r="B55" s="9" t="s">
        <v>375</v>
      </c>
      <c r="C55" s="8" t="s">
        <v>502</v>
      </c>
      <c r="D55" s="8" t="s">
        <v>116</v>
      </c>
      <c r="E55" s="8"/>
      <c r="F55" s="8" t="s">
        <v>447</v>
      </c>
      <c r="G55" s="9" t="s">
        <v>501</v>
      </c>
      <c r="H55" s="8"/>
      <c r="I55" s="8" t="s">
        <v>18</v>
      </c>
      <c r="J55" s="8" t="s">
        <v>123</v>
      </c>
      <c r="K55" s="9"/>
      <c r="L55" s="10" t="s">
        <v>53</v>
      </c>
    </row>
    <row r="56" customFormat="false" ht="15" hidden="false" customHeight="false" outlineLevel="0" collapsed="false">
      <c r="A56" s="8" t="s">
        <v>495</v>
      </c>
      <c r="B56" s="9" t="s">
        <v>503</v>
      </c>
      <c r="C56" s="8" t="s">
        <v>504</v>
      </c>
      <c r="D56" s="8" t="s">
        <v>135</v>
      </c>
      <c r="E56" s="8"/>
      <c r="F56" s="8" t="s">
        <v>447</v>
      </c>
      <c r="G56" s="9" t="s">
        <v>501</v>
      </c>
      <c r="H56" s="8"/>
      <c r="I56" s="8" t="s">
        <v>18</v>
      </c>
      <c r="J56" s="8" t="s">
        <v>123</v>
      </c>
      <c r="K56" s="9" t="s">
        <v>505</v>
      </c>
      <c r="L56" s="10" t="s">
        <v>53</v>
      </c>
    </row>
    <row r="57" customFormat="false" ht="15" hidden="false" customHeight="false" outlineLevel="0" collapsed="false">
      <c r="A57" s="8" t="s">
        <v>495</v>
      </c>
      <c r="B57" s="9" t="s">
        <v>506</v>
      </c>
      <c r="C57" s="8" t="s">
        <v>507</v>
      </c>
      <c r="D57" s="8" t="s">
        <v>116</v>
      </c>
      <c r="E57" s="8"/>
      <c r="F57" s="8" t="s">
        <v>447</v>
      </c>
      <c r="G57" s="9" t="s">
        <v>501</v>
      </c>
      <c r="H57" s="8"/>
      <c r="I57" s="8" t="s">
        <v>18</v>
      </c>
      <c r="J57" s="8" t="s">
        <v>123</v>
      </c>
      <c r="K57" s="9"/>
      <c r="L57" s="10" t="s">
        <v>53</v>
      </c>
    </row>
    <row r="58" customFormat="false" ht="15" hidden="false" customHeight="false" outlineLevel="0" collapsed="false">
      <c r="A58" s="8" t="s">
        <v>495</v>
      </c>
      <c r="B58" s="9" t="s">
        <v>508</v>
      </c>
      <c r="C58" s="8" t="s">
        <v>509</v>
      </c>
      <c r="D58" s="8" t="s">
        <v>308</v>
      </c>
      <c r="E58" s="8"/>
      <c r="F58" s="8" t="s">
        <v>447</v>
      </c>
      <c r="G58" s="9" t="s">
        <v>501</v>
      </c>
      <c r="H58" s="8"/>
      <c r="I58" s="8" t="s">
        <v>18</v>
      </c>
      <c r="J58" s="8" t="s">
        <v>123</v>
      </c>
      <c r="K58" s="9"/>
      <c r="L58" s="10" t="s">
        <v>53</v>
      </c>
    </row>
    <row r="59" customFormat="false" ht="23.85" hidden="false" customHeight="false" outlineLevel="0" collapsed="false">
      <c r="A59" s="8" t="s">
        <v>495</v>
      </c>
      <c r="B59" s="9" t="s">
        <v>510</v>
      </c>
      <c r="C59" s="8" t="s">
        <v>511</v>
      </c>
      <c r="D59" s="8" t="s">
        <v>308</v>
      </c>
      <c r="E59" s="8"/>
      <c r="F59" s="8" t="s">
        <v>447</v>
      </c>
      <c r="G59" s="9" t="s">
        <v>512</v>
      </c>
      <c r="H59" s="8"/>
      <c r="I59" s="8" t="s">
        <v>663</v>
      </c>
      <c r="J59" s="8" t="s">
        <v>123</v>
      </c>
      <c r="K59" s="9"/>
      <c r="L59" s="10" t="s">
        <v>53</v>
      </c>
    </row>
    <row r="60" customFormat="false" ht="23.85" hidden="false" customHeight="false" outlineLevel="0" collapsed="false">
      <c r="A60" s="8" t="s">
        <v>495</v>
      </c>
      <c r="B60" s="9" t="s">
        <v>513</v>
      </c>
      <c r="C60" s="8" t="s">
        <v>514</v>
      </c>
      <c r="D60" s="8" t="s">
        <v>116</v>
      </c>
      <c r="E60" s="8"/>
      <c r="F60" s="8" t="s">
        <v>447</v>
      </c>
      <c r="G60" s="9" t="s">
        <v>515</v>
      </c>
      <c r="H60" s="8"/>
      <c r="I60" s="8" t="s">
        <v>18</v>
      </c>
      <c r="J60" s="8" t="s">
        <v>123</v>
      </c>
      <c r="K60" s="9"/>
      <c r="L60" s="10" t="s">
        <v>53</v>
      </c>
    </row>
    <row r="61" customFormat="false" ht="23.85" hidden="false" customHeight="false" outlineLevel="0" collapsed="false">
      <c r="A61" s="8" t="s">
        <v>495</v>
      </c>
      <c r="B61" s="9" t="s">
        <v>516</v>
      </c>
      <c r="C61" s="8" t="s">
        <v>517</v>
      </c>
      <c r="D61" s="8" t="s">
        <v>116</v>
      </c>
      <c r="E61" s="8"/>
      <c r="F61" s="8" t="s">
        <v>447</v>
      </c>
      <c r="G61" s="9" t="s">
        <v>518</v>
      </c>
      <c r="H61" s="8"/>
      <c r="I61" s="8" t="s">
        <v>18</v>
      </c>
      <c r="J61" s="8" t="s">
        <v>123</v>
      </c>
      <c r="K61" s="9"/>
      <c r="L61" s="10" t="s">
        <v>53</v>
      </c>
    </row>
  </sheetData>
  <hyperlinks>
    <hyperlink ref="L4" r:id="rId1" display="https://apps.naaccr.org/data-dictionary/data-dictionary/version=25/data-item-view/item-number=240/"/>
    <hyperlink ref="L5" r:id="rId2" display="https://apps.naaccr.org/data-dictionary/data-dictionary/version=25/data-item-view/item-number=220/"/>
    <hyperlink ref="L6" r:id="rId3" display="https://support.researchallofus.org/hc/en-us/articles/6085285773204-The-Basics-Baseline-Survey-Details-and-Resources"/>
    <hyperlink ref="L7" r:id="rId4" display="https://support.researchallofus.org/hc/en-us/articles/6085285773204-The-Basics-Baseline-Survey-Details-and-Resources"/>
    <hyperlink ref="L8" r:id="rId5" display="https://apps.naaccr.org/data-dictionary/data-dictionary/version=25/data-item-view/item-number=160/"/>
    <hyperlink ref="L9" r:id="rId6" display="https://apps.naaccr.org/data-dictionary/data-dictionary/version=25/data-item-view/item-number=190/"/>
    <hyperlink ref="L10" r:id="rId7" display="https://support.researchallofus.org/hc/en-us/articles/6085285773204-The-Basics-Baseline-Survey-Details-and-Resources"/>
    <hyperlink ref="L11" r:id="rId8" display="https://support.researchallofus.org/hc/en-us/articles/6085285773204-The-Basics-Baseline-Survey-Details-and-Resources"/>
    <hyperlink ref="L12" r:id="rId9" display="https://support.researchallofus.org/hc/en-us/articles/6085285773204-The-Basics-Baseline-Survey-Details-and-Resources"/>
    <hyperlink ref="L13" r:id="rId10" display="https://www.researchallofus.org/data-tools/survey-explorer/"/>
    <hyperlink ref="L14" r:id="rId11" display="https://apps.naaccr.org/data-dictionary/data-dictionary/version=25/data-item-view/item-number=390/"/>
    <hyperlink ref="L15" r:id="rId12" display="https://apps.naaccr.org/data-dictionary/data-dictionary/version=25/data-item-view/item-number=400/"/>
    <hyperlink ref="L16" r:id="rId13" display="https://apps.naaccr.org/data-dictionary/data-dictionary/version=25/data-item-view/item-number=410/"/>
    <hyperlink ref="L17" r:id="rId14" display="https://apps.naaccr.org/data-dictionary/data-dictionary/version=25/data-item-view/item-number=522/"/>
    <hyperlink ref="L18" r:id="rId15" display="https://apps.naaccr.org/data-dictionary/data-dictionary/version=25/data-item-view/item-number=523/"/>
    <hyperlink ref="L19" r:id="rId16" display="https://apps.naaccr.org/data-dictionary/data-dictionary/version=25/data-item-view/item-number=490/"/>
    <hyperlink ref="L20" r:id="rId17" display="https://www.researchallofus.org/data-tools/survey-explorer/"/>
    <hyperlink ref="L21" r:id="rId18" display="https://apps.naaccr.org/data-dictionary/data-dictionary/version=25/data-item-view/item-number=764/"/>
    <hyperlink ref="L22" r:id="rId19" display="https://apps.naaccr.org/data-dictionary/data-dictionary/version=25/data-item-view/item-number=3827/"/>
    <hyperlink ref="L23" r:id="rId20" display="https://apps.naaccr.org/data-dictionary/data-dictionary/version=25/data-item-view/item-number=3915/"/>
    <hyperlink ref="L24" r:id="rId21" display="https://apps.naaccr.org/data-dictionary/data-dictionary/version=25/data-item-view/item-number=3855/"/>
    <hyperlink ref="L25" r:id="rId22" display="https://apps.naaccr.org/data-dictionary/data-dictionary/version=25/data-item-view/item-number=1290/"/>
    <hyperlink ref="L26" r:id="rId23" display="https://apps.naaccr.org/data-dictionary/data-dictionary/version=25/data-item-view/item-number=1360/"/>
    <hyperlink ref="L27" r:id="rId24" display="https://apps.naaccr.org/data-dictionary/data-dictionary/version=25/data-item-view/item-number=1390/"/>
    <hyperlink ref="L28" r:id="rId25" display="https://apps.naaccr.org/data-dictionary/data-dictionary/version=25/data-item-view/item-number=1400/"/>
    <hyperlink ref="L29" r:id="rId26" display="https://apps.naaccr.org/data-dictionary/data-dictionary/version=25/data-item-view/item-number=1410/"/>
    <hyperlink ref="L30" r:id="rId27" display="https://apps.naaccr.org/data-dictionary/data-dictionary/version=25/data-item-view/item-number=1750/"/>
    <hyperlink ref="L31" r:id="rId28" display="https://apps.naaccr.org/data-dictionary/data-dictionary/version=25/data-item-view/item-number=1760/"/>
    <hyperlink ref="L32" r:id="rId29" display="https://www.researchallofus.org/data-tools/survey-explorer/"/>
    <hyperlink ref="L35" r:id="rId30" display="https://www.researchallofus.org/data-tools/survey-explorer/"/>
    <hyperlink ref="L36" r:id="rId31" display="https://www.researchallofus.org/data-tools/survey-explorer/"/>
    <hyperlink ref="L37" r:id="rId32" display="https://www.researchallofus.org/data-tools/survey-explorer/"/>
    <hyperlink ref="L38" r:id="rId33" display="https://www.researchallofus.org/data-tools/survey-explorer/"/>
    <hyperlink ref="L43" r:id="rId34" display="https://www.researchallofus.org/data-tools/survey-explorer/"/>
    <hyperlink ref="L44" r:id="rId35" display="https://www.researchallofus.org/data-tools/survey-explorer/"/>
    <hyperlink ref="L45" r:id="rId36" display="https://www.researchallofus.org/data-tools/survey-explorer/"/>
    <hyperlink ref="L46" r:id="rId37" display="https://www.researchallofus.org/data-tools/survey-explorer/"/>
    <hyperlink ref="L47" r:id="rId38" display="https://www.researchallofus.org/data-tools/survey-explorer/"/>
    <hyperlink ref="L48" r:id="rId39" display="https://www.researchallofus.org/data-tools/survey-explorer/"/>
    <hyperlink ref="L49" r:id="rId40" display="https://cadsr.cancer.gov/"/>
    <hyperlink ref="L50" r:id="rId41" display="https://cadsr.cancer.gov/"/>
    <hyperlink ref="L51" r:id="rId42" display="https://cadsr.cancer.gov/"/>
    <hyperlink ref="L52" r:id="rId43" display="https://cadsr.cancer.gov/"/>
    <hyperlink ref="L53" r:id="rId44" display="https://cadsr.cancer.gov/"/>
    <hyperlink ref="L54" r:id="rId45" display="https://cadsr.cancer.gov/"/>
    <hyperlink ref="L55" r:id="rId46" display="https://cadsr.cancer.gov/"/>
    <hyperlink ref="L56" r:id="rId47" display="https://cadsr.cancer.gov/"/>
    <hyperlink ref="L57" r:id="rId48" display="https://cadsr.cancer.gov/"/>
    <hyperlink ref="L58" r:id="rId49" display="https://cadsr.cancer.gov/"/>
    <hyperlink ref="L59" r:id="rId50" display="https://cadsr.cancer.gov/"/>
    <hyperlink ref="L60" r:id="rId51" display="https://cadsr.cancer.gov/"/>
    <hyperlink ref="L61" r:id="rId52" display="https://cadsr.cancer.gov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44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10" min="9" style="0" width="8"/>
    <col collapsed="false" customWidth="true" hidden="false" outlineLevel="0" max="11" min="11" style="0" width="9"/>
    <col collapsed="false" customWidth="true" hidden="false" outlineLevel="0" max="12" min="12" style="0" width="26"/>
    <col collapsed="false" customWidth="true" hidden="false" outlineLevel="0" max="13" min="13" style="0" width="8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36"/>
  </cols>
  <sheetData>
    <row r="1" customFormat="false" ht="68.65" hidden="false" customHeight="false" outlineLevel="0" collapsed="false">
      <c r="A1" s="7" t="s">
        <v>664</v>
      </c>
      <c r="B1" s="7" t="s">
        <v>665</v>
      </c>
      <c r="C1" s="7" t="s">
        <v>666</v>
      </c>
      <c r="D1" s="7" t="s">
        <v>667</v>
      </c>
      <c r="E1" s="7" t="s">
        <v>668</v>
      </c>
      <c r="F1" s="7" t="s">
        <v>669</v>
      </c>
      <c r="G1" s="7" t="s">
        <v>670</v>
      </c>
      <c r="H1" s="7" t="s">
        <v>671</v>
      </c>
      <c r="I1" s="7" t="s">
        <v>672</v>
      </c>
      <c r="J1" s="7" t="s">
        <v>673</v>
      </c>
      <c r="K1" s="7" t="s">
        <v>674</v>
      </c>
      <c r="L1" s="7" t="s">
        <v>675</v>
      </c>
      <c r="M1" s="7" t="s">
        <v>676</v>
      </c>
      <c r="N1" s="7" t="s">
        <v>677</v>
      </c>
      <c r="O1" s="7" t="s">
        <v>678</v>
      </c>
      <c r="P1" s="7" t="s">
        <v>679</v>
      </c>
      <c r="Q1" s="7" t="s">
        <v>680</v>
      </c>
      <c r="R1" s="7" t="s">
        <v>681</v>
      </c>
    </row>
    <row r="2" customFormat="false" ht="15" hidden="false" customHeight="false" outlineLevel="0" collapsed="false">
      <c r="A2" s="8" t="s">
        <v>651</v>
      </c>
      <c r="B2" s="8" t="s">
        <v>682</v>
      </c>
      <c r="C2" s="8"/>
      <c r="D2" s="8" t="s">
        <v>116</v>
      </c>
      <c r="E2" s="9" t="s">
        <v>650</v>
      </c>
      <c r="F2" s="9"/>
      <c r="G2" s="9"/>
      <c r="H2" s="8"/>
      <c r="I2" s="8"/>
      <c r="J2" s="8"/>
      <c r="K2" s="8"/>
      <c r="L2" s="9"/>
      <c r="M2" s="8" t="s">
        <v>683</v>
      </c>
      <c r="N2" s="8"/>
      <c r="O2" s="8"/>
      <c r="P2" s="8"/>
      <c r="Q2" s="8"/>
      <c r="R2" s="9"/>
    </row>
    <row r="3" customFormat="false" ht="15" hidden="false" customHeight="false" outlineLevel="0" collapsed="false">
      <c r="A3" s="8" t="s">
        <v>115</v>
      </c>
      <c r="B3" s="8" t="s">
        <v>682</v>
      </c>
      <c r="C3" s="8" t="s">
        <v>684</v>
      </c>
      <c r="D3" s="8" t="s">
        <v>116</v>
      </c>
      <c r="E3" s="9" t="s">
        <v>114</v>
      </c>
      <c r="F3" s="9"/>
      <c r="G3" s="9"/>
      <c r="H3" s="8" t="s">
        <v>685</v>
      </c>
      <c r="I3" s="8"/>
      <c r="J3" s="8"/>
      <c r="K3" s="8"/>
      <c r="L3" s="9"/>
      <c r="M3" s="8" t="s">
        <v>683</v>
      </c>
      <c r="N3" s="8"/>
      <c r="O3" s="8"/>
      <c r="P3" s="8"/>
      <c r="Q3" s="8"/>
      <c r="R3" s="9"/>
    </row>
    <row r="4" customFormat="false" ht="23.85" hidden="false" customHeight="false" outlineLevel="0" collapsed="false">
      <c r="A4" s="8" t="s">
        <v>121</v>
      </c>
      <c r="B4" s="8" t="s">
        <v>682</v>
      </c>
      <c r="C4" s="8" t="s">
        <v>686</v>
      </c>
      <c r="D4" s="8" t="s">
        <v>116</v>
      </c>
      <c r="E4" s="9" t="s">
        <v>120</v>
      </c>
      <c r="F4" s="9"/>
      <c r="G4" s="9" t="s">
        <v>687</v>
      </c>
      <c r="H4" s="8" t="s">
        <v>685</v>
      </c>
      <c r="I4" s="8"/>
      <c r="J4" s="8"/>
      <c r="K4" s="8" t="s">
        <v>683</v>
      </c>
      <c r="L4" s="9"/>
      <c r="M4" s="8" t="s">
        <v>683</v>
      </c>
      <c r="N4" s="8"/>
      <c r="O4" s="8"/>
      <c r="P4" s="8"/>
      <c r="Q4" s="8"/>
      <c r="R4" s="9" t="s">
        <v>688</v>
      </c>
    </row>
    <row r="5" customFormat="false" ht="23.85" hidden="false" customHeight="false" outlineLevel="0" collapsed="false">
      <c r="A5" s="8" t="s">
        <v>127</v>
      </c>
      <c r="B5" s="8" t="s">
        <v>682</v>
      </c>
      <c r="C5" s="8"/>
      <c r="D5" s="8" t="s">
        <v>128</v>
      </c>
      <c r="E5" s="9" t="s">
        <v>126</v>
      </c>
      <c r="F5" s="9" t="s">
        <v>129</v>
      </c>
      <c r="G5" s="9" t="s">
        <v>689</v>
      </c>
      <c r="H5" s="8"/>
      <c r="I5" s="8"/>
      <c r="J5" s="8"/>
      <c r="K5" s="8"/>
      <c r="L5" s="9"/>
      <c r="M5" s="8" t="s">
        <v>683</v>
      </c>
      <c r="N5" s="8"/>
      <c r="O5" s="8"/>
      <c r="P5" s="8"/>
      <c r="Q5" s="8"/>
      <c r="R5" s="9" t="s">
        <v>690</v>
      </c>
    </row>
    <row r="6" customFormat="false" ht="23.85" hidden="false" customHeight="false" outlineLevel="0" collapsed="false">
      <c r="A6" s="8" t="s">
        <v>134</v>
      </c>
      <c r="B6" s="8" t="s">
        <v>682</v>
      </c>
      <c r="C6" s="8"/>
      <c r="D6" s="8" t="s">
        <v>135</v>
      </c>
      <c r="E6" s="9" t="s">
        <v>133</v>
      </c>
      <c r="F6" s="9" t="s">
        <v>136</v>
      </c>
      <c r="G6" s="9" t="s">
        <v>137</v>
      </c>
      <c r="H6" s="8"/>
      <c r="I6" s="8"/>
      <c r="J6" s="8"/>
      <c r="K6" s="8"/>
      <c r="L6" s="9"/>
      <c r="M6" s="8"/>
      <c r="N6" s="8"/>
      <c r="O6" s="8"/>
      <c r="P6" s="8"/>
      <c r="Q6" s="8"/>
      <c r="R6" s="9"/>
    </row>
    <row r="7" customFormat="false" ht="35.05" hidden="false" customHeight="false" outlineLevel="0" collapsed="false">
      <c r="A7" s="8" t="s">
        <v>139</v>
      </c>
      <c r="B7" s="8" t="s">
        <v>682</v>
      </c>
      <c r="C7" s="8"/>
      <c r="D7" s="8" t="s">
        <v>140</v>
      </c>
      <c r="E7" s="9" t="s">
        <v>138</v>
      </c>
      <c r="F7" s="9" t="s">
        <v>141</v>
      </c>
      <c r="G7" s="9" t="s">
        <v>691</v>
      </c>
      <c r="H7" s="8"/>
      <c r="I7" s="8"/>
      <c r="J7" s="8"/>
      <c r="K7" s="8"/>
      <c r="L7" s="9"/>
      <c r="M7" s="8"/>
      <c r="N7" s="8"/>
      <c r="O7" s="8"/>
      <c r="P7" s="8"/>
      <c r="Q7" s="8"/>
      <c r="R7" s="9" t="s">
        <v>692</v>
      </c>
    </row>
    <row r="8" customFormat="false" ht="23.85" hidden="false" customHeight="false" outlineLevel="0" collapsed="false">
      <c r="A8" s="8" t="s">
        <v>146</v>
      </c>
      <c r="B8" s="8" t="s">
        <v>682</v>
      </c>
      <c r="C8" s="8"/>
      <c r="D8" s="8" t="s">
        <v>128</v>
      </c>
      <c r="E8" s="9" t="s">
        <v>145</v>
      </c>
      <c r="F8" s="9" t="s">
        <v>147</v>
      </c>
      <c r="G8" s="9" t="s">
        <v>693</v>
      </c>
      <c r="H8" s="8"/>
      <c r="I8" s="8"/>
      <c r="J8" s="8"/>
      <c r="K8" s="8"/>
      <c r="L8" s="9"/>
      <c r="M8" s="8"/>
      <c r="N8" s="8"/>
      <c r="O8" s="8"/>
      <c r="P8" s="8"/>
      <c r="Q8" s="8"/>
      <c r="R8" s="9" t="s">
        <v>694</v>
      </c>
    </row>
    <row r="9" customFormat="false" ht="15" hidden="false" customHeight="false" outlineLevel="0" collapsed="false">
      <c r="A9" s="8" t="s">
        <v>152</v>
      </c>
      <c r="B9" s="8" t="s">
        <v>682</v>
      </c>
      <c r="C9" s="8"/>
      <c r="D9" s="8" t="s">
        <v>116</v>
      </c>
      <c r="E9" s="9" t="s">
        <v>151</v>
      </c>
      <c r="F9" s="9"/>
      <c r="G9" s="9" t="s">
        <v>153</v>
      </c>
      <c r="H9" s="8" t="s">
        <v>695</v>
      </c>
      <c r="I9" s="8"/>
      <c r="J9" s="8"/>
      <c r="K9" s="8"/>
      <c r="L9" s="9"/>
      <c r="M9" s="8"/>
      <c r="N9" s="8"/>
      <c r="O9" s="8"/>
      <c r="P9" s="8"/>
      <c r="Q9" s="8"/>
      <c r="R9" s="9"/>
    </row>
    <row r="10" customFormat="false" ht="35.05" hidden="false" customHeight="false" outlineLevel="0" collapsed="false">
      <c r="A10" s="8" t="s">
        <v>155</v>
      </c>
      <c r="B10" s="8" t="s">
        <v>682</v>
      </c>
      <c r="C10" s="8"/>
      <c r="D10" s="8" t="s">
        <v>135</v>
      </c>
      <c r="E10" s="9" t="s">
        <v>154</v>
      </c>
      <c r="F10" s="9" t="s">
        <v>156</v>
      </c>
      <c r="G10" s="9"/>
      <c r="H10" s="8"/>
      <c r="I10" s="8"/>
      <c r="J10" s="8"/>
      <c r="K10" s="8"/>
      <c r="L10" s="9"/>
      <c r="M10" s="8"/>
      <c r="N10" s="8"/>
      <c r="O10" s="8"/>
      <c r="P10" s="8"/>
      <c r="Q10" s="8"/>
      <c r="R10" s="9"/>
    </row>
    <row r="11" customFormat="false" ht="15" hidden="false" customHeight="false" outlineLevel="0" collapsed="false">
      <c r="A11" s="8" t="s">
        <v>159</v>
      </c>
      <c r="B11" s="8" t="s">
        <v>696</v>
      </c>
      <c r="C11" s="8" t="s">
        <v>604</v>
      </c>
      <c r="D11" s="8" t="s">
        <v>128</v>
      </c>
      <c r="E11" s="9" t="s">
        <v>158</v>
      </c>
      <c r="F11" s="9" t="s">
        <v>160</v>
      </c>
      <c r="G11" s="9" t="s">
        <v>605</v>
      </c>
      <c r="H11" s="8"/>
      <c r="I11" s="8"/>
      <c r="J11" s="8"/>
      <c r="K11" s="8"/>
      <c r="L11" s="9"/>
      <c r="M11" s="8"/>
      <c r="N11" s="8"/>
      <c r="O11" s="8"/>
      <c r="P11" s="8"/>
      <c r="Q11" s="8"/>
      <c r="R11" s="9" t="s">
        <v>697</v>
      </c>
    </row>
    <row r="12" customFormat="false" ht="68.65" hidden="false" customHeight="false" outlineLevel="0" collapsed="false">
      <c r="A12" s="8" t="s">
        <v>164</v>
      </c>
      <c r="B12" s="8" t="s">
        <v>696</v>
      </c>
      <c r="C12" s="8"/>
      <c r="D12" s="8" t="s">
        <v>140</v>
      </c>
      <c r="E12" s="9" t="s">
        <v>163</v>
      </c>
      <c r="F12" s="9" t="s">
        <v>165</v>
      </c>
      <c r="G12" s="9" t="s">
        <v>606</v>
      </c>
      <c r="H12" s="8"/>
      <c r="I12" s="8"/>
      <c r="J12" s="8"/>
      <c r="K12" s="8"/>
      <c r="L12" s="9"/>
      <c r="M12" s="8"/>
      <c r="N12" s="8"/>
      <c r="O12" s="8"/>
      <c r="P12" s="8"/>
      <c r="Q12" s="8"/>
      <c r="R12" s="9" t="s">
        <v>697</v>
      </c>
    </row>
    <row r="13" customFormat="false" ht="35.05" hidden="false" customHeight="false" outlineLevel="0" collapsed="false">
      <c r="A13" s="8" t="s">
        <v>168</v>
      </c>
      <c r="B13" s="8" t="s">
        <v>696</v>
      </c>
      <c r="C13" s="8"/>
      <c r="D13" s="8" t="s">
        <v>140</v>
      </c>
      <c r="E13" s="9" t="s">
        <v>167</v>
      </c>
      <c r="F13" s="9" t="s">
        <v>169</v>
      </c>
      <c r="G13" s="9" t="s">
        <v>607</v>
      </c>
      <c r="H13" s="8"/>
      <c r="I13" s="8"/>
      <c r="J13" s="8"/>
      <c r="K13" s="8"/>
      <c r="L13" s="9"/>
      <c r="M13" s="8"/>
      <c r="N13" s="8"/>
      <c r="O13" s="8"/>
      <c r="P13" s="8"/>
      <c r="Q13" s="8"/>
      <c r="R13" s="9" t="s">
        <v>697</v>
      </c>
    </row>
    <row r="14" customFormat="false" ht="35.05" hidden="false" customHeight="false" outlineLevel="0" collapsed="false">
      <c r="A14" s="8" t="s">
        <v>172</v>
      </c>
      <c r="B14" s="8" t="s">
        <v>696</v>
      </c>
      <c r="C14" s="8"/>
      <c r="D14" s="8" t="s">
        <v>128</v>
      </c>
      <c r="E14" s="9" t="s">
        <v>171</v>
      </c>
      <c r="F14" s="9" t="s">
        <v>173</v>
      </c>
      <c r="G14" s="9" t="s">
        <v>608</v>
      </c>
      <c r="H14" s="8"/>
      <c r="I14" s="8"/>
      <c r="J14" s="8"/>
      <c r="K14" s="8"/>
      <c r="L14" s="9"/>
      <c r="M14" s="8"/>
      <c r="N14" s="8"/>
      <c r="O14" s="8"/>
      <c r="P14" s="8"/>
      <c r="Q14" s="8"/>
      <c r="R14" s="9" t="s">
        <v>697</v>
      </c>
    </row>
    <row r="15" customFormat="false" ht="35.05" hidden="false" customHeight="false" outlineLevel="0" collapsed="false">
      <c r="A15" s="8" t="s">
        <v>176</v>
      </c>
      <c r="B15" s="8" t="s">
        <v>696</v>
      </c>
      <c r="C15" s="8"/>
      <c r="D15" s="8" t="s">
        <v>140</v>
      </c>
      <c r="E15" s="9" t="s">
        <v>175</v>
      </c>
      <c r="F15" s="9" t="s">
        <v>177</v>
      </c>
      <c r="G15" s="9" t="s">
        <v>609</v>
      </c>
      <c r="H15" s="8"/>
      <c r="I15" s="8"/>
      <c r="J15" s="8"/>
      <c r="K15" s="8"/>
      <c r="L15" s="9"/>
      <c r="M15" s="8"/>
      <c r="N15" s="8"/>
      <c r="O15" s="8"/>
      <c r="P15" s="8"/>
      <c r="Q15" s="8"/>
      <c r="R15" s="9" t="s">
        <v>697</v>
      </c>
    </row>
    <row r="16" customFormat="false" ht="46.25" hidden="false" customHeight="false" outlineLevel="0" collapsed="false">
      <c r="A16" s="8" t="s">
        <v>180</v>
      </c>
      <c r="B16" s="8" t="s">
        <v>696</v>
      </c>
      <c r="C16" s="8"/>
      <c r="D16" s="8" t="s">
        <v>135</v>
      </c>
      <c r="E16" s="9" t="s">
        <v>179</v>
      </c>
      <c r="F16" s="9" t="s">
        <v>181</v>
      </c>
      <c r="G16" s="9" t="s">
        <v>610</v>
      </c>
      <c r="H16" s="8"/>
      <c r="I16" s="8"/>
      <c r="J16" s="8"/>
      <c r="K16" s="8"/>
      <c r="L16" s="9"/>
      <c r="M16" s="8"/>
      <c r="N16" s="8"/>
      <c r="O16" s="8"/>
      <c r="P16" s="8"/>
      <c r="Q16" s="8"/>
      <c r="R16" s="9" t="s">
        <v>697</v>
      </c>
    </row>
    <row r="17" customFormat="false" ht="23.85" hidden="false" customHeight="false" outlineLevel="0" collapsed="false">
      <c r="A17" s="8" t="s">
        <v>184</v>
      </c>
      <c r="B17" s="8" t="s">
        <v>696</v>
      </c>
      <c r="C17" s="8"/>
      <c r="D17" s="8" t="s">
        <v>128</v>
      </c>
      <c r="E17" s="9" t="s">
        <v>183</v>
      </c>
      <c r="F17" s="9" t="s">
        <v>185</v>
      </c>
      <c r="G17" s="9" t="s">
        <v>611</v>
      </c>
      <c r="H17" s="8"/>
      <c r="I17" s="8"/>
      <c r="J17" s="8"/>
      <c r="K17" s="8"/>
      <c r="L17" s="9"/>
      <c r="M17" s="8"/>
      <c r="N17" s="8"/>
      <c r="O17" s="8"/>
      <c r="P17" s="8"/>
      <c r="Q17" s="8"/>
      <c r="R17" s="9" t="s">
        <v>697</v>
      </c>
    </row>
    <row r="18" customFormat="false" ht="35.05" hidden="false" customHeight="false" outlineLevel="0" collapsed="false">
      <c r="A18" s="8" t="s">
        <v>188</v>
      </c>
      <c r="B18" s="8" t="s">
        <v>696</v>
      </c>
      <c r="C18" s="8"/>
      <c r="D18" s="8" t="s">
        <v>135</v>
      </c>
      <c r="E18" s="9" t="s">
        <v>187</v>
      </c>
      <c r="F18" s="9" t="s">
        <v>189</v>
      </c>
      <c r="G18" s="9" t="s">
        <v>611</v>
      </c>
      <c r="H18" s="8"/>
      <c r="I18" s="8"/>
      <c r="J18" s="8"/>
      <c r="K18" s="8"/>
      <c r="L18" s="9"/>
      <c r="M18" s="8"/>
      <c r="N18" s="8"/>
      <c r="O18" s="8"/>
      <c r="P18" s="8"/>
      <c r="Q18" s="8"/>
      <c r="R18" s="9" t="s">
        <v>697</v>
      </c>
    </row>
    <row r="19" customFormat="false" ht="23.85" hidden="false" customHeight="false" outlineLevel="0" collapsed="false">
      <c r="A19" s="8" t="s">
        <v>191</v>
      </c>
      <c r="B19" s="8" t="s">
        <v>696</v>
      </c>
      <c r="C19" s="8" t="s">
        <v>612</v>
      </c>
      <c r="D19" s="8" t="s">
        <v>116</v>
      </c>
      <c r="E19" s="9" t="s">
        <v>190</v>
      </c>
      <c r="F19" s="9"/>
      <c r="G19" s="9" t="s">
        <v>613</v>
      </c>
      <c r="H19" s="8" t="s">
        <v>695</v>
      </c>
      <c r="I19" s="8"/>
      <c r="J19" s="8"/>
      <c r="K19" s="8"/>
      <c r="L19" s="9"/>
      <c r="M19" s="8"/>
      <c r="N19" s="8"/>
      <c r="O19" s="8"/>
      <c r="P19" s="8"/>
      <c r="Q19" s="8"/>
      <c r="R19" s="9" t="s">
        <v>697</v>
      </c>
    </row>
    <row r="20" customFormat="false" ht="23.85" hidden="false" customHeight="false" outlineLevel="0" collapsed="false">
      <c r="A20" s="8" t="s">
        <v>194</v>
      </c>
      <c r="B20" s="8" t="s">
        <v>696</v>
      </c>
      <c r="C20" s="8"/>
      <c r="D20" s="8" t="s">
        <v>116</v>
      </c>
      <c r="E20" s="9" t="s">
        <v>193</v>
      </c>
      <c r="F20" s="9"/>
      <c r="G20" s="9" t="s">
        <v>614</v>
      </c>
      <c r="H20" s="8" t="s">
        <v>695</v>
      </c>
      <c r="I20" s="8"/>
      <c r="J20" s="8"/>
      <c r="K20" s="8"/>
      <c r="L20" s="9" t="s">
        <v>195</v>
      </c>
      <c r="M20" s="8"/>
      <c r="N20" s="8"/>
      <c r="O20" s="8"/>
      <c r="P20" s="8"/>
      <c r="Q20" s="8"/>
      <c r="R20" s="9" t="s">
        <v>697</v>
      </c>
    </row>
    <row r="21" customFormat="false" ht="23.85" hidden="false" customHeight="false" outlineLevel="0" collapsed="false">
      <c r="A21" s="8" t="s">
        <v>198</v>
      </c>
      <c r="B21" s="8" t="s">
        <v>696</v>
      </c>
      <c r="C21" s="8" t="s">
        <v>615</v>
      </c>
      <c r="D21" s="8" t="s">
        <v>128</v>
      </c>
      <c r="E21" s="9" t="s">
        <v>197</v>
      </c>
      <c r="F21" s="9" t="s">
        <v>199</v>
      </c>
      <c r="G21" s="9" t="s">
        <v>616</v>
      </c>
      <c r="H21" s="8"/>
      <c r="I21" s="8"/>
      <c r="J21" s="8"/>
      <c r="K21" s="8"/>
      <c r="L21" s="9"/>
      <c r="M21" s="8"/>
      <c r="N21" s="8"/>
      <c r="O21" s="8"/>
      <c r="P21" s="8"/>
      <c r="Q21" s="8"/>
      <c r="R21" s="9" t="s">
        <v>697</v>
      </c>
    </row>
    <row r="22" customFormat="false" ht="46.25" hidden="false" customHeight="false" outlineLevel="0" collapsed="false">
      <c r="A22" s="8" t="s">
        <v>202</v>
      </c>
      <c r="B22" s="8" t="s">
        <v>696</v>
      </c>
      <c r="C22" s="8"/>
      <c r="D22" s="8" t="s">
        <v>140</v>
      </c>
      <c r="E22" s="9" t="s">
        <v>201</v>
      </c>
      <c r="F22" s="9" t="s">
        <v>203</v>
      </c>
      <c r="G22" s="9" t="s">
        <v>617</v>
      </c>
      <c r="H22" s="8"/>
      <c r="I22" s="8"/>
      <c r="J22" s="8"/>
      <c r="K22" s="8"/>
      <c r="L22" s="9" t="s">
        <v>204</v>
      </c>
      <c r="M22" s="8"/>
      <c r="N22" s="8"/>
      <c r="O22" s="8"/>
      <c r="P22" s="8"/>
      <c r="Q22" s="8"/>
      <c r="R22" s="9" t="s">
        <v>697</v>
      </c>
    </row>
    <row r="23" customFormat="false" ht="23.85" hidden="false" customHeight="false" outlineLevel="0" collapsed="false">
      <c r="A23" s="8" t="s">
        <v>207</v>
      </c>
      <c r="B23" s="8" t="s">
        <v>696</v>
      </c>
      <c r="C23" s="8" t="s">
        <v>618</v>
      </c>
      <c r="D23" s="8" t="s">
        <v>128</v>
      </c>
      <c r="E23" s="9" t="s">
        <v>206</v>
      </c>
      <c r="F23" s="9" t="s">
        <v>185</v>
      </c>
      <c r="G23" s="9" t="s">
        <v>619</v>
      </c>
      <c r="H23" s="8"/>
      <c r="I23" s="8"/>
      <c r="J23" s="8"/>
      <c r="K23" s="8"/>
      <c r="L23" s="9"/>
      <c r="M23" s="8"/>
      <c r="N23" s="8"/>
      <c r="O23" s="8"/>
      <c r="P23" s="8"/>
      <c r="Q23" s="8"/>
      <c r="R23" s="9" t="s">
        <v>697</v>
      </c>
    </row>
    <row r="24" customFormat="false" ht="23.85" hidden="false" customHeight="false" outlineLevel="0" collapsed="false">
      <c r="A24" s="8" t="s">
        <v>210</v>
      </c>
      <c r="B24" s="8" t="s">
        <v>696</v>
      </c>
      <c r="C24" s="8"/>
      <c r="D24" s="8" t="s">
        <v>128</v>
      </c>
      <c r="E24" s="9" t="s">
        <v>209</v>
      </c>
      <c r="F24" s="9" t="s">
        <v>185</v>
      </c>
      <c r="G24" s="9" t="s">
        <v>619</v>
      </c>
      <c r="H24" s="8"/>
      <c r="I24" s="8"/>
      <c r="J24" s="8"/>
      <c r="K24" s="8"/>
      <c r="L24" s="9"/>
      <c r="M24" s="8"/>
      <c r="N24" s="8"/>
      <c r="O24" s="8"/>
      <c r="P24" s="8"/>
      <c r="Q24" s="8"/>
      <c r="R24" s="9" t="s">
        <v>697</v>
      </c>
    </row>
    <row r="25" customFormat="false" ht="23.85" hidden="false" customHeight="false" outlineLevel="0" collapsed="false">
      <c r="A25" s="8" t="s">
        <v>212</v>
      </c>
      <c r="B25" s="8" t="s">
        <v>696</v>
      </c>
      <c r="C25" s="8"/>
      <c r="D25" s="8" t="s">
        <v>128</v>
      </c>
      <c r="E25" s="9" t="s">
        <v>211</v>
      </c>
      <c r="F25" s="9" t="s">
        <v>185</v>
      </c>
      <c r="G25" s="9" t="s">
        <v>619</v>
      </c>
      <c r="H25" s="8"/>
      <c r="I25" s="8"/>
      <c r="J25" s="8"/>
      <c r="K25" s="8"/>
      <c r="L25" s="9"/>
      <c r="M25" s="8"/>
      <c r="N25" s="8"/>
      <c r="O25" s="8"/>
      <c r="P25" s="8"/>
      <c r="Q25" s="8"/>
      <c r="R25" s="9" t="s">
        <v>697</v>
      </c>
    </row>
    <row r="26" customFormat="false" ht="23.85" hidden="false" customHeight="false" outlineLevel="0" collapsed="false">
      <c r="A26" s="8" t="s">
        <v>214</v>
      </c>
      <c r="B26" s="8" t="s">
        <v>696</v>
      </c>
      <c r="C26" s="8"/>
      <c r="D26" s="8" t="s">
        <v>128</v>
      </c>
      <c r="E26" s="9" t="s">
        <v>213</v>
      </c>
      <c r="F26" s="9" t="s">
        <v>185</v>
      </c>
      <c r="G26" s="9" t="s">
        <v>619</v>
      </c>
      <c r="H26" s="8"/>
      <c r="I26" s="8"/>
      <c r="J26" s="8"/>
      <c r="K26" s="8"/>
      <c r="L26" s="9"/>
      <c r="M26" s="8"/>
      <c r="N26" s="8"/>
      <c r="O26" s="8"/>
      <c r="P26" s="8"/>
      <c r="Q26" s="8"/>
      <c r="R26" s="9" t="s">
        <v>697</v>
      </c>
    </row>
    <row r="27" customFormat="false" ht="15" hidden="false" customHeight="false" outlineLevel="0" collapsed="false">
      <c r="A27" s="8" t="s">
        <v>216</v>
      </c>
      <c r="B27" s="8" t="s">
        <v>696</v>
      </c>
      <c r="C27" s="8"/>
      <c r="D27" s="8" t="s">
        <v>128</v>
      </c>
      <c r="E27" s="9" t="s">
        <v>215</v>
      </c>
      <c r="F27" s="9" t="s">
        <v>185</v>
      </c>
      <c r="G27" s="9" t="s">
        <v>619</v>
      </c>
      <c r="H27" s="8"/>
      <c r="I27" s="8"/>
      <c r="J27" s="8"/>
      <c r="K27" s="8"/>
      <c r="L27" s="9"/>
      <c r="M27" s="8"/>
      <c r="N27" s="8"/>
      <c r="O27" s="8"/>
      <c r="P27" s="8"/>
      <c r="Q27" s="8"/>
      <c r="R27" s="9" t="s">
        <v>697</v>
      </c>
    </row>
    <row r="28" customFormat="false" ht="23.85" hidden="false" customHeight="false" outlineLevel="0" collapsed="false">
      <c r="A28" s="8" t="s">
        <v>218</v>
      </c>
      <c r="B28" s="8" t="s">
        <v>696</v>
      </c>
      <c r="C28" s="8"/>
      <c r="D28" s="8" t="s">
        <v>128</v>
      </c>
      <c r="E28" s="9" t="s">
        <v>217</v>
      </c>
      <c r="F28" s="9" t="s">
        <v>185</v>
      </c>
      <c r="G28" s="9" t="s">
        <v>619</v>
      </c>
      <c r="H28" s="8"/>
      <c r="I28" s="8"/>
      <c r="J28" s="8"/>
      <c r="K28" s="8"/>
      <c r="L28" s="9"/>
      <c r="M28" s="8"/>
      <c r="N28" s="8"/>
      <c r="O28" s="8"/>
      <c r="P28" s="8"/>
      <c r="Q28" s="8"/>
      <c r="R28" s="9" t="s">
        <v>697</v>
      </c>
    </row>
    <row r="29" customFormat="false" ht="46.25" hidden="false" customHeight="false" outlineLevel="0" collapsed="false">
      <c r="A29" s="8" t="s">
        <v>220</v>
      </c>
      <c r="B29" s="8" t="s">
        <v>696</v>
      </c>
      <c r="C29" s="8" t="s">
        <v>620</v>
      </c>
      <c r="D29" s="8" t="s">
        <v>140</v>
      </c>
      <c r="E29" s="9" t="s">
        <v>219</v>
      </c>
      <c r="F29" s="9" t="s">
        <v>221</v>
      </c>
      <c r="G29" s="9" t="s">
        <v>611</v>
      </c>
      <c r="H29" s="8"/>
      <c r="I29" s="8"/>
      <c r="J29" s="8"/>
      <c r="K29" s="8"/>
      <c r="L29" s="9"/>
      <c r="M29" s="8"/>
      <c r="N29" s="8"/>
      <c r="O29" s="8"/>
      <c r="P29" s="8"/>
      <c r="Q29" s="8"/>
      <c r="R29" s="9" t="s">
        <v>697</v>
      </c>
    </row>
    <row r="30" customFormat="false" ht="35.05" hidden="false" customHeight="false" outlineLevel="0" collapsed="false">
      <c r="A30" s="8" t="s">
        <v>223</v>
      </c>
      <c r="B30" s="8" t="s">
        <v>696</v>
      </c>
      <c r="C30" s="8"/>
      <c r="D30" s="8" t="s">
        <v>135</v>
      </c>
      <c r="E30" s="9" t="s">
        <v>222</v>
      </c>
      <c r="F30" s="9" t="s">
        <v>224</v>
      </c>
      <c r="G30" s="9" t="s">
        <v>611</v>
      </c>
      <c r="H30" s="8"/>
      <c r="I30" s="8"/>
      <c r="J30" s="8"/>
      <c r="K30" s="8"/>
      <c r="L30" s="9"/>
      <c r="M30" s="8"/>
      <c r="N30" s="8"/>
      <c r="O30" s="8"/>
      <c r="P30" s="8"/>
      <c r="Q30" s="8"/>
      <c r="R30" s="9" t="s">
        <v>697</v>
      </c>
    </row>
    <row r="31" customFormat="false" ht="15" hidden="false" customHeight="false" outlineLevel="0" collapsed="false">
      <c r="A31" s="8" t="s">
        <v>226</v>
      </c>
      <c r="B31" s="8" t="s">
        <v>696</v>
      </c>
      <c r="C31" s="8"/>
      <c r="D31" s="8" t="s">
        <v>128</v>
      </c>
      <c r="E31" s="9" t="s">
        <v>225</v>
      </c>
      <c r="F31" s="9" t="s">
        <v>227</v>
      </c>
      <c r="G31" s="9" t="s">
        <v>611</v>
      </c>
      <c r="H31" s="8"/>
      <c r="I31" s="8"/>
      <c r="J31" s="8"/>
      <c r="K31" s="8"/>
      <c r="L31" s="9"/>
      <c r="M31" s="8"/>
      <c r="N31" s="8"/>
      <c r="O31" s="8"/>
      <c r="P31" s="8"/>
      <c r="Q31" s="8"/>
      <c r="R31" s="9" t="s">
        <v>697</v>
      </c>
    </row>
    <row r="32" customFormat="false" ht="46.25" hidden="false" customHeight="false" outlineLevel="0" collapsed="false">
      <c r="A32" s="8" t="s">
        <v>229</v>
      </c>
      <c r="B32" s="8" t="s">
        <v>696</v>
      </c>
      <c r="C32" s="8"/>
      <c r="D32" s="8" t="s">
        <v>135</v>
      </c>
      <c r="E32" s="9" t="s">
        <v>228</v>
      </c>
      <c r="F32" s="9" t="s">
        <v>230</v>
      </c>
      <c r="G32" s="9" t="s">
        <v>621</v>
      </c>
      <c r="H32" s="8"/>
      <c r="I32" s="8"/>
      <c r="J32" s="8"/>
      <c r="K32" s="8"/>
      <c r="L32" s="9" t="s">
        <v>231</v>
      </c>
      <c r="M32" s="8"/>
      <c r="N32" s="8"/>
      <c r="O32" s="8"/>
      <c r="P32" s="8"/>
      <c r="Q32" s="8"/>
      <c r="R32" s="9" t="s">
        <v>697</v>
      </c>
    </row>
    <row r="33" customFormat="false" ht="23.85" hidden="false" customHeight="false" outlineLevel="0" collapsed="false">
      <c r="A33" s="8" t="s">
        <v>234</v>
      </c>
      <c r="B33" s="8" t="s">
        <v>696</v>
      </c>
      <c r="C33" s="8"/>
      <c r="D33" s="8" t="s">
        <v>135</v>
      </c>
      <c r="E33" s="9" t="s">
        <v>233</v>
      </c>
      <c r="F33" s="9" t="s">
        <v>235</v>
      </c>
      <c r="G33" s="9" t="s">
        <v>622</v>
      </c>
      <c r="H33" s="8"/>
      <c r="I33" s="8"/>
      <c r="J33" s="8"/>
      <c r="K33" s="8"/>
      <c r="L33" s="9"/>
      <c r="M33" s="8"/>
      <c r="N33" s="8"/>
      <c r="O33" s="8"/>
      <c r="P33" s="8"/>
      <c r="Q33" s="8"/>
      <c r="R33" s="9" t="s">
        <v>697</v>
      </c>
    </row>
    <row r="34" customFormat="false" ht="23.85" hidden="false" customHeight="false" outlineLevel="0" collapsed="false">
      <c r="A34" s="8" t="s">
        <v>238</v>
      </c>
      <c r="B34" s="8" t="s">
        <v>696</v>
      </c>
      <c r="C34" s="8"/>
      <c r="D34" s="8" t="s">
        <v>128</v>
      </c>
      <c r="E34" s="9" t="s">
        <v>237</v>
      </c>
      <c r="F34" s="9" t="s">
        <v>239</v>
      </c>
      <c r="G34" s="9" t="s">
        <v>623</v>
      </c>
      <c r="H34" s="8"/>
      <c r="I34" s="8"/>
      <c r="J34" s="8"/>
      <c r="K34" s="8"/>
      <c r="L34" s="9"/>
      <c r="M34" s="8"/>
      <c r="N34" s="8"/>
      <c r="O34" s="8"/>
      <c r="P34" s="8"/>
      <c r="Q34" s="8"/>
      <c r="R34" s="9" t="s">
        <v>697</v>
      </c>
    </row>
    <row r="35" customFormat="false" ht="15" hidden="false" customHeight="false" outlineLevel="0" collapsed="false">
      <c r="A35" s="8" t="s">
        <v>243</v>
      </c>
      <c r="B35" s="8" t="s">
        <v>698</v>
      </c>
      <c r="C35" s="8" t="s">
        <v>699</v>
      </c>
      <c r="D35" s="8" t="s">
        <v>116</v>
      </c>
      <c r="E35" s="9" t="s">
        <v>242</v>
      </c>
      <c r="F35" s="9"/>
      <c r="G35" s="9" t="s">
        <v>700</v>
      </c>
      <c r="H35" s="8" t="s">
        <v>695</v>
      </c>
      <c r="I35" s="8"/>
      <c r="J35" s="8"/>
      <c r="K35" s="8"/>
      <c r="L35" s="9"/>
      <c r="M35" s="8"/>
      <c r="N35" s="8"/>
      <c r="O35" s="8"/>
      <c r="P35" s="8"/>
      <c r="Q35" s="8"/>
      <c r="R35" s="9" t="s">
        <v>701</v>
      </c>
    </row>
    <row r="36" customFormat="false" ht="23.85" hidden="false" customHeight="false" outlineLevel="0" collapsed="false">
      <c r="A36" s="8" t="s">
        <v>249</v>
      </c>
      <c r="B36" s="8" t="s">
        <v>698</v>
      </c>
      <c r="C36" s="8"/>
      <c r="D36" s="8" t="s">
        <v>116</v>
      </c>
      <c r="E36" s="9" t="s">
        <v>248</v>
      </c>
      <c r="F36" s="9"/>
      <c r="G36" s="9" t="s">
        <v>702</v>
      </c>
      <c r="H36" s="8" t="s">
        <v>685</v>
      </c>
      <c r="I36" s="8"/>
      <c r="J36" s="8"/>
      <c r="K36" s="8"/>
      <c r="L36" s="9"/>
      <c r="M36" s="8" t="s">
        <v>683</v>
      </c>
      <c r="N36" s="8"/>
      <c r="O36" s="8"/>
      <c r="P36" s="8"/>
      <c r="Q36" s="8"/>
      <c r="R36" s="9" t="s">
        <v>703</v>
      </c>
    </row>
    <row r="37" customFormat="false" ht="46.25" hidden="false" customHeight="false" outlineLevel="0" collapsed="false">
      <c r="A37" s="8" t="s">
        <v>254</v>
      </c>
      <c r="B37" s="8" t="s">
        <v>698</v>
      </c>
      <c r="C37" s="8"/>
      <c r="D37" s="8" t="s">
        <v>135</v>
      </c>
      <c r="E37" s="9" t="s">
        <v>253</v>
      </c>
      <c r="F37" s="9" t="s">
        <v>255</v>
      </c>
      <c r="G37" s="9" t="s">
        <v>704</v>
      </c>
      <c r="H37" s="8"/>
      <c r="I37" s="8"/>
      <c r="J37" s="8"/>
      <c r="K37" s="8"/>
      <c r="L37" s="9"/>
      <c r="M37" s="8" t="s">
        <v>683</v>
      </c>
      <c r="N37" s="8"/>
      <c r="O37" s="8"/>
      <c r="P37" s="8"/>
      <c r="Q37" s="8"/>
      <c r="R37" s="9" t="s">
        <v>705</v>
      </c>
    </row>
    <row r="38" customFormat="false" ht="23.85" hidden="false" customHeight="false" outlineLevel="0" collapsed="false">
      <c r="A38" s="8" t="s">
        <v>260</v>
      </c>
      <c r="B38" s="8" t="s">
        <v>698</v>
      </c>
      <c r="C38" s="8"/>
      <c r="D38" s="8" t="s">
        <v>135</v>
      </c>
      <c r="E38" s="9" t="s">
        <v>259</v>
      </c>
      <c r="F38" s="9" t="s">
        <v>261</v>
      </c>
      <c r="G38" s="9"/>
      <c r="H38" s="8"/>
      <c r="I38" s="8"/>
      <c r="J38" s="8"/>
      <c r="K38" s="8"/>
      <c r="L38" s="9"/>
      <c r="M38" s="8"/>
      <c r="N38" s="8"/>
      <c r="O38" s="8"/>
      <c r="P38" s="8"/>
      <c r="Q38" s="8"/>
      <c r="R38" s="9" t="s">
        <v>263</v>
      </c>
    </row>
    <row r="39" customFormat="false" ht="23.85" hidden="false" customHeight="false" outlineLevel="0" collapsed="false">
      <c r="A39" s="8" t="s">
        <v>266</v>
      </c>
      <c r="B39" s="8" t="s">
        <v>698</v>
      </c>
      <c r="C39" s="8"/>
      <c r="D39" s="8" t="s">
        <v>116</v>
      </c>
      <c r="E39" s="9" t="s">
        <v>265</v>
      </c>
      <c r="F39" s="9"/>
      <c r="G39" s="9" t="s">
        <v>706</v>
      </c>
      <c r="H39" s="8"/>
      <c r="I39" s="8"/>
      <c r="J39" s="8"/>
      <c r="K39" s="8"/>
      <c r="L39" s="9"/>
      <c r="M39" s="8"/>
      <c r="N39" s="8"/>
      <c r="O39" s="8"/>
      <c r="P39" s="8"/>
      <c r="Q39" s="8"/>
      <c r="R39" s="9" t="s">
        <v>707</v>
      </c>
    </row>
    <row r="40" customFormat="false" ht="15" hidden="false" customHeight="false" outlineLevel="0" collapsed="false">
      <c r="A40" s="8" t="s">
        <v>272</v>
      </c>
      <c r="B40" s="8" t="s">
        <v>698</v>
      </c>
      <c r="C40" s="8"/>
      <c r="D40" s="8" t="s">
        <v>135</v>
      </c>
      <c r="E40" s="9" t="s">
        <v>271</v>
      </c>
      <c r="F40" s="9" t="s">
        <v>273</v>
      </c>
      <c r="G40" s="9" t="s">
        <v>708</v>
      </c>
      <c r="H40" s="8"/>
      <c r="I40" s="8"/>
      <c r="J40" s="8"/>
      <c r="K40" s="8"/>
      <c r="L40" s="9"/>
      <c r="M40" s="8"/>
      <c r="N40" s="8"/>
      <c r="O40" s="8"/>
      <c r="P40" s="8"/>
      <c r="Q40" s="8"/>
      <c r="R40" s="9" t="s">
        <v>709</v>
      </c>
    </row>
    <row r="41" customFormat="false" ht="46.25" hidden="false" customHeight="false" outlineLevel="0" collapsed="false">
      <c r="A41" s="8" t="s">
        <v>278</v>
      </c>
      <c r="B41" s="8" t="s">
        <v>698</v>
      </c>
      <c r="C41" s="8"/>
      <c r="D41" s="8" t="s">
        <v>135</v>
      </c>
      <c r="E41" s="9" t="s">
        <v>277</v>
      </c>
      <c r="F41" s="9" t="s">
        <v>279</v>
      </c>
      <c r="G41" s="9"/>
      <c r="H41" s="8"/>
      <c r="I41" s="8"/>
      <c r="J41" s="8"/>
      <c r="K41" s="8"/>
      <c r="L41" s="9"/>
      <c r="M41" s="8"/>
      <c r="N41" s="8"/>
      <c r="O41" s="8"/>
      <c r="P41" s="8"/>
      <c r="Q41" s="8"/>
      <c r="R41" s="9" t="s">
        <v>281</v>
      </c>
    </row>
    <row r="42" customFormat="false" ht="35.05" hidden="false" customHeight="false" outlineLevel="0" collapsed="false">
      <c r="A42" s="8" t="s">
        <v>284</v>
      </c>
      <c r="B42" s="8" t="s">
        <v>698</v>
      </c>
      <c r="C42" s="8" t="s">
        <v>710</v>
      </c>
      <c r="D42" s="8" t="s">
        <v>135</v>
      </c>
      <c r="E42" s="9" t="s">
        <v>283</v>
      </c>
      <c r="F42" s="9" t="s">
        <v>285</v>
      </c>
      <c r="G42" s="9" t="s">
        <v>711</v>
      </c>
      <c r="H42" s="8"/>
      <c r="I42" s="8"/>
      <c r="J42" s="8"/>
      <c r="K42" s="8"/>
      <c r="L42" s="9"/>
      <c r="M42" s="8"/>
      <c r="N42" s="8"/>
      <c r="O42" s="8"/>
      <c r="P42" s="8"/>
      <c r="Q42" s="8"/>
      <c r="R42" s="9" t="s">
        <v>712</v>
      </c>
    </row>
    <row r="43" customFormat="false" ht="23.85" hidden="false" customHeight="false" outlineLevel="0" collapsed="false">
      <c r="A43" s="8" t="s">
        <v>290</v>
      </c>
      <c r="B43" s="8" t="s">
        <v>698</v>
      </c>
      <c r="C43" s="8"/>
      <c r="D43" s="8" t="s">
        <v>135</v>
      </c>
      <c r="E43" s="9" t="s">
        <v>289</v>
      </c>
      <c r="F43" s="9" t="s">
        <v>291</v>
      </c>
      <c r="G43" s="9" t="s">
        <v>713</v>
      </c>
      <c r="H43" s="8"/>
      <c r="I43" s="8"/>
      <c r="J43" s="8"/>
      <c r="K43" s="8"/>
      <c r="L43" s="9" t="s">
        <v>293</v>
      </c>
      <c r="M43" s="8"/>
      <c r="N43" s="8"/>
      <c r="O43" s="8"/>
      <c r="P43" s="8"/>
      <c r="Q43" s="8"/>
      <c r="R43" s="9" t="s">
        <v>714</v>
      </c>
    </row>
    <row r="44" customFormat="false" ht="23.85" hidden="false" customHeight="false" outlineLevel="0" collapsed="false">
      <c r="A44" s="8" t="s">
        <v>297</v>
      </c>
      <c r="B44" s="8" t="s">
        <v>698</v>
      </c>
      <c r="C44" s="8"/>
      <c r="D44" s="8" t="s">
        <v>135</v>
      </c>
      <c r="E44" s="9" t="s">
        <v>296</v>
      </c>
      <c r="F44" s="9" t="s">
        <v>291</v>
      </c>
      <c r="G44" s="9" t="s">
        <v>713</v>
      </c>
      <c r="H44" s="8"/>
      <c r="I44" s="8"/>
      <c r="J44" s="8"/>
      <c r="K44" s="8"/>
      <c r="L44" s="9" t="s">
        <v>293</v>
      </c>
      <c r="M44" s="8"/>
      <c r="N44" s="8"/>
      <c r="O44" s="8"/>
      <c r="P44" s="8"/>
      <c r="Q44" s="8"/>
      <c r="R44" s="9" t="s">
        <v>715</v>
      </c>
    </row>
    <row r="45" customFormat="false" ht="23.85" hidden="false" customHeight="false" outlineLevel="0" collapsed="false">
      <c r="A45" s="8" t="s">
        <v>302</v>
      </c>
      <c r="B45" s="8" t="s">
        <v>698</v>
      </c>
      <c r="C45" s="8"/>
      <c r="D45" s="8" t="s">
        <v>135</v>
      </c>
      <c r="E45" s="9" t="s">
        <v>301</v>
      </c>
      <c r="F45" s="9" t="s">
        <v>291</v>
      </c>
      <c r="G45" s="9" t="s">
        <v>713</v>
      </c>
      <c r="H45" s="8"/>
      <c r="I45" s="8"/>
      <c r="J45" s="8"/>
      <c r="K45" s="8"/>
      <c r="L45" s="9" t="s">
        <v>293</v>
      </c>
      <c r="M45" s="8"/>
      <c r="N45" s="8"/>
      <c r="O45" s="8"/>
      <c r="P45" s="8"/>
      <c r="Q45" s="8"/>
      <c r="R45" s="9" t="s">
        <v>716</v>
      </c>
    </row>
    <row r="46" customFormat="false" ht="23.85" hidden="false" customHeight="false" outlineLevel="0" collapsed="false">
      <c r="A46" s="8" t="s">
        <v>307</v>
      </c>
      <c r="B46" s="8" t="s">
        <v>698</v>
      </c>
      <c r="C46" s="8" t="s">
        <v>717</v>
      </c>
      <c r="D46" s="8" t="s">
        <v>308</v>
      </c>
      <c r="E46" s="9" t="s">
        <v>306</v>
      </c>
      <c r="F46" s="9"/>
      <c r="G46" s="9" t="s">
        <v>718</v>
      </c>
      <c r="H46" s="8"/>
      <c r="I46" s="8"/>
      <c r="J46" s="8"/>
      <c r="K46" s="8"/>
      <c r="L46" s="9"/>
      <c r="M46" s="8"/>
      <c r="N46" s="8"/>
      <c r="O46" s="8"/>
      <c r="P46" s="8"/>
      <c r="Q46" s="8"/>
      <c r="R46" s="9" t="s">
        <v>719</v>
      </c>
    </row>
    <row r="47" customFormat="false" ht="15" hidden="false" customHeight="false" outlineLevel="0" collapsed="false">
      <c r="A47" s="8" t="s">
        <v>313</v>
      </c>
      <c r="B47" s="8" t="s">
        <v>698</v>
      </c>
      <c r="C47" s="8"/>
      <c r="D47" s="8" t="s">
        <v>308</v>
      </c>
      <c r="E47" s="9" t="s">
        <v>312</v>
      </c>
      <c r="F47" s="9"/>
      <c r="G47" s="9"/>
      <c r="H47" s="8"/>
      <c r="I47" s="8"/>
      <c r="J47" s="8"/>
      <c r="K47" s="8"/>
      <c r="L47" s="9"/>
      <c r="M47" s="8"/>
      <c r="N47" s="8"/>
      <c r="O47" s="8"/>
      <c r="P47" s="8"/>
      <c r="Q47" s="8"/>
      <c r="R47" s="9" t="s">
        <v>315</v>
      </c>
    </row>
    <row r="48" customFormat="false" ht="15" hidden="false" customHeight="false" outlineLevel="0" collapsed="false">
      <c r="A48" s="8" t="s">
        <v>318</v>
      </c>
      <c r="B48" s="8" t="s">
        <v>698</v>
      </c>
      <c r="C48" s="8"/>
      <c r="D48" s="8" t="s">
        <v>308</v>
      </c>
      <c r="E48" s="9" t="s">
        <v>317</v>
      </c>
      <c r="F48" s="9"/>
      <c r="G48" s="9"/>
      <c r="H48" s="8"/>
      <c r="I48" s="8"/>
      <c r="J48" s="8"/>
      <c r="K48" s="8"/>
      <c r="L48" s="9"/>
      <c r="M48" s="8"/>
      <c r="N48" s="8"/>
      <c r="O48" s="8"/>
      <c r="P48" s="8"/>
      <c r="Q48" s="8"/>
      <c r="R48" s="9" t="s">
        <v>320</v>
      </c>
    </row>
    <row r="49" customFormat="false" ht="15" hidden="false" customHeight="false" outlineLevel="0" collapsed="false">
      <c r="A49" s="8" t="s">
        <v>323</v>
      </c>
      <c r="B49" s="8" t="s">
        <v>698</v>
      </c>
      <c r="C49" s="8"/>
      <c r="D49" s="8" t="s">
        <v>308</v>
      </c>
      <c r="E49" s="9" t="s">
        <v>322</v>
      </c>
      <c r="F49" s="9"/>
      <c r="G49" s="9"/>
      <c r="H49" s="8"/>
      <c r="I49" s="8"/>
      <c r="J49" s="8"/>
      <c r="K49" s="8"/>
      <c r="L49" s="9"/>
      <c r="M49" s="8"/>
      <c r="N49" s="8"/>
      <c r="O49" s="8"/>
      <c r="P49" s="8"/>
      <c r="Q49" s="8"/>
      <c r="R49" s="9" t="s">
        <v>325</v>
      </c>
    </row>
    <row r="50" customFormat="false" ht="23.85" hidden="false" customHeight="false" outlineLevel="0" collapsed="false">
      <c r="A50" s="8" t="s">
        <v>328</v>
      </c>
      <c r="B50" s="8" t="s">
        <v>698</v>
      </c>
      <c r="C50" s="8"/>
      <c r="D50" s="8" t="s">
        <v>308</v>
      </c>
      <c r="E50" s="9" t="s">
        <v>327</v>
      </c>
      <c r="F50" s="9"/>
      <c r="G50" s="9" t="s">
        <v>720</v>
      </c>
      <c r="H50" s="8"/>
      <c r="I50" s="8"/>
      <c r="J50" s="8"/>
      <c r="K50" s="8"/>
      <c r="L50" s="9"/>
      <c r="M50" s="8"/>
      <c r="N50" s="8"/>
      <c r="O50" s="8"/>
      <c r="P50" s="8"/>
      <c r="Q50" s="8"/>
      <c r="R50" s="9" t="s">
        <v>721</v>
      </c>
    </row>
    <row r="51" customFormat="false" ht="23.85" hidden="false" customHeight="false" outlineLevel="0" collapsed="false">
      <c r="A51" s="8" t="s">
        <v>333</v>
      </c>
      <c r="B51" s="8" t="s">
        <v>698</v>
      </c>
      <c r="C51" s="8" t="s">
        <v>722</v>
      </c>
      <c r="D51" s="8" t="s">
        <v>116</v>
      </c>
      <c r="E51" s="9" t="s">
        <v>332</v>
      </c>
      <c r="F51" s="9"/>
      <c r="G51" s="9" t="s">
        <v>723</v>
      </c>
      <c r="H51" s="8" t="s">
        <v>685</v>
      </c>
      <c r="I51" s="8"/>
      <c r="J51" s="8"/>
      <c r="K51" s="8"/>
      <c r="L51" s="9"/>
      <c r="M51" s="8"/>
      <c r="N51" s="8"/>
      <c r="O51" s="8"/>
      <c r="P51" s="8"/>
      <c r="Q51" s="8"/>
      <c r="R51" s="9" t="s">
        <v>724</v>
      </c>
    </row>
    <row r="52" customFormat="false" ht="23.85" hidden="false" customHeight="false" outlineLevel="0" collapsed="false">
      <c r="A52" s="8" t="s">
        <v>338</v>
      </c>
      <c r="B52" s="8" t="s">
        <v>698</v>
      </c>
      <c r="C52" s="8"/>
      <c r="D52" s="8" t="s">
        <v>135</v>
      </c>
      <c r="E52" s="9" t="s">
        <v>337</v>
      </c>
      <c r="F52" s="9" t="s">
        <v>339</v>
      </c>
      <c r="G52" s="9" t="s">
        <v>725</v>
      </c>
      <c r="H52" s="8"/>
      <c r="I52" s="8"/>
      <c r="J52" s="8"/>
      <c r="K52" s="8"/>
      <c r="L52" s="9"/>
      <c r="M52" s="8"/>
      <c r="N52" s="8"/>
      <c r="O52" s="8"/>
      <c r="P52" s="8"/>
      <c r="Q52" s="8"/>
      <c r="R52" s="9" t="s">
        <v>726</v>
      </c>
    </row>
    <row r="53" customFormat="false" ht="23.85" hidden="false" customHeight="false" outlineLevel="0" collapsed="false">
      <c r="A53" s="8" t="s">
        <v>345</v>
      </c>
      <c r="B53" s="8" t="s">
        <v>727</v>
      </c>
      <c r="C53" s="8" t="s">
        <v>728</v>
      </c>
      <c r="D53" s="8" t="s">
        <v>128</v>
      </c>
      <c r="E53" s="9" t="s">
        <v>344</v>
      </c>
      <c r="F53" s="9" t="s">
        <v>346</v>
      </c>
      <c r="G53" s="9"/>
      <c r="H53" s="8"/>
      <c r="I53" s="8"/>
      <c r="J53" s="8"/>
      <c r="K53" s="8"/>
      <c r="L53" s="9"/>
      <c r="M53" s="8" t="s">
        <v>683</v>
      </c>
      <c r="N53" s="8"/>
      <c r="O53" s="8"/>
      <c r="P53" s="8"/>
      <c r="Q53" s="8"/>
      <c r="R53" s="9"/>
    </row>
    <row r="54" customFormat="false" ht="23.85" hidden="false" customHeight="false" outlineLevel="0" collapsed="false">
      <c r="A54" s="8" t="s">
        <v>348</v>
      </c>
      <c r="B54" s="8" t="s">
        <v>727</v>
      </c>
      <c r="C54" s="8"/>
      <c r="D54" s="8" t="s">
        <v>128</v>
      </c>
      <c r="E54" s="9" t="s">
        <v>347</v>
      </c>
      <c r="F54" s="9" t="s">
        <v>349</v>
      </c>
      <c r="G54" s="9"/>
      <c r="H54" s="8"/>
      <c r="I54" s="8"/>
      <c r="J54" s="8"/>
      <c r="K54" s="8"/>
      <c r="L54" s="9"/>
      <c r="M54" s="8"/>
      <c r="N54" s="8"/>
      <c r="O54" s="8"/>
      <c r="P54" s="8"/>
      <c r="Q54" s="8"/>
      <c r="R54" s="9"/>
    </row>
    <row r="55" customFormat="false" ht="23.85" hidden="false" customHeight="false" outlineLevel="0" collapsed="false">
      <c r="A55" s="8" t="s">
        <v>351</v>
      </c>
      <c r="B55" s="8" t="s">
        <v>727</v>
      </c>
      <c r="C55" s="8"/>
      <c r="D55" s="8" t="s">
        <v>128</v>
      </c>
      <c r="E55" s="9" t="s">
        <v>350</v>
      </c>
      <c r="F55" s="9" t="s">
        <v>352</v>
      </c>
      <c r="G55" s="9"/>
      <c r="H55" s="8"/>
      <c r="I55" s="8"/>
      <c r="J55" s="8"/>
      <c r="K55" s="8"/>
      <c r="L55" s="9"/>
      <c r="M55" s="8"/>
      <c r="N55" s="8"/>
      <c r="O55" s="8"/>
      <c r="P55" s="8"/>
      <c r="Q55" s="8"/>
      <c r="R55" s="9"/>
    </row>
    <row r="56" customFormat="false" ht="35.05" hidden="false" customHeight="false" outlineLevel="0" collapsed="false">
      <c r="A56" s="8" t="s">
        <v>354</v>
      </c>
      <c r="B56" s="8" t="s">
        <v>727</v>
      </c>
      <c r="C56" s="8"/>
      <c r="D56" s="8" t="s">
        <v>128</v>
      </c>
      <c r="E56" s="9" t="s">
        <v>353</v>
      </c>
      <c r="F56" s="9" t="s">
        <v>355</v>
      </c>
      <c r="G56" s="9"/>
      <c r="H56" s="8"/>
      <c r="I56" s="8"/>
      <c r="J56" s="8"/>
      <c r="K56" s="8"/>
      <c r="L56" s="9"/>
      <c r="M56" s="8"/>
      <c r="N56" s="8"/>
      <c r="O56" s="8"/>
      <c r="P56" s="8"/>
      <c r="Q56" s="8"/>
      <c r="R56" s="9"/>
    </row>
    <row r="57" customFormat="false" ht="23.85" hidden="false" customHeight="false" outlineLevel="0" collapsed="false">
      <c r="A57" s="8" t="s">
        <v>357</v>
      </c>
      <c r="B57" s="8" t="s">
        <v>727</v>
      </c>
      <c r="C57" s="8"/>
      <c r="D57" s="8" t="s">
        <v>128</v>
      </c>
      <c r="E57" s="9" t="s">
        <v>356</v>
      </c>
      <c r="F57" s="9" t="s">
        <v>358</v>
      </c>
      <c r="G57" s="9"/>
      <c r="H57" s="8"/>
      <c r="I57" s="8"/>
      <c r="J57" s="8"/>
      <c r="K57" s="8"/>
      <c r="L57" s="9"/>
      <c r="M57" s="8"/>
      <c r="N57" s="8"/>
      <c r="O57" s="8"/>
      <c r="P57" s="8"/>
      <c r="Q57" s="8"/>
      <c r="R57" s="9"/>
    </row>
    <row r="58" customFormat="false" ht="23.85" hidden="false" customHeight="false" outlineLevel="0" collapsed="false">
      <c r="A58" s="8" t="s">
        <v>360</v>
      </c>
      <c r="B58" s="8" t="s">
        <v>727</v>
      </c>
      <c r="C58" s="8"/>
      <c r="D58" s="8" t="s">
        <v>128</v>
      </c>
      <c r="E58" s="9" t="s">
        <v>359</v>
      </c>
      <c r="F58" s="9" t="s">
        <v>358</v>
      </c>
      <c r="G58" s="9"/>
      <c r="H58" s="8"/>
      <c r="I58" s="8"/>
      <c r="J58" s="8"/>
      <c r="K58" s="8"/>
      <c r="L58" s="9"/>
      <c r="M58" s="8"/>
      <c r="N58" s="8"/>
      <c r="O58" s="8"/>
      <c r="P58" s="8"/>
      <c r="Q58" s="8"/>
      <c r="R58" s="9"/>
    </row>
    <row r="59" customFormat="false" ht="23.85" hidden="false" customHeight="false" outlineLevel="0" collapsed="false">
      <c r="A59" s="8" t="s">
        <v>362</v>
      </c>
      <c r="B59" s="8" t="s">
        <v>727</v>
      </c>
      <c r="C59" s="8"/>
      <c r="D59" s="8" t="s">
        <v>363</v>
      </c>
      <c r="E59" s="9" t="s">
        <v>361</v>
      </c>
      <c r="F59" s="9" t="s">
        <v>364</v>
      </c>
      <c r="G59" s="9"/>
      <c r="H59" s="8"/>
      <c r="I59" s="8"/>
      <c r="J59" s="8"/>
      <c r="K59" s="8"/>
      <c r="L59" s="9"/>
      <c r="M59" s="8"/>
      <c r="N59" s="8"/>
      <c r="O59" s="8"/>
      <c r="P59" s="8"/>
      <c r="Q59" s="8"/>
      <c r="R59" s="9"/>
    </row>
    <row r="60" customFormat="false" ht="35.05" hidden="false" customHeight="false" outlineLevel="0" collapsed="false">
      <c r="A60" s="8" t="s">
        <v>367</v>
      </c>
      <c r="B60" s="8" t="s">
        <v>729</v>
      </c>
      <c r="C60" s="8" t="s">
        <v>730</v>
      </c>
      <c r="D60" s="8" t="s">
        <v>308</v>
      </c>
      <c r="E60" s="9" t="s">
        <v>366</v>
      </c>
      <c r="F60" s="9"/>
      <c r="G60" s="9"/>
      <c r="H60" s="8"/>
      <c r="I60" s="8"/>
      <c r="J60" s="8"/>
      <c r="K60" s="8"/>
      <c r="L60" s="9"/>
      <c r="M60" s="8" t="s">
        <v>683</v>
      </c>
      <c r="N60" s="8"/>
      <c r="O60" s="8"/>
      <c r="P60" s="8"/>
      <c r="Q60" s="8"/>
      <c r="R60" s="9"/>
    </row>
    <row r="61" customFormat="false" ht="46.25" hidden="false" customHeight="false" outlineLevel="0" collapsed="false">
      <c r="A61" s="8" t="s">
        <v>369</v>
      </c>
      <c r="B61" s="8" t="s">
        <v>729</v>
      </c>
      <c r="C61" s="8"/>
      <c r="D61" s="8" t="s">
        <v>140</v>
      </c>
      <c r="E61" s="9" t="s">
        <v>368</v>
      </c>
      <c r="F61" s="9" t="s">
        <v>370</v>
      </c>
      <c r="G61" s="9"/>
      <c r="H61" s="8"/>
      <c r="I61" s="8"/>
      <c r="J61" s="8"/>
      <c r="K61" s="8"/>
      <c r="L61" s="9" t="s">
        <v>371</v>
      </c>
      <c r="M61" s="8"/>
      <c r="N61" s="8"/>
      <c r="O61" s="8"/>
      <c r="P61" s="8"/>
      <c r="Q61" s="8"/>
      <c r="R61" s="9"/>
    </row>
    <row r="62" customFormat="false" ht="15" hidden="false" customHeight="false" outlineLevel="0" collapsed="false">
      <c r="A62" s="8" t="s">
        <v>373</v>
      </c>
      <c r="B62" s="8" t="s">
        <v>729</v>
      </c>
      <c r="C62" s="8" t="s">
        <v>731</v>
      </c>
      <c r="D62" s="8" t="s">
        <v>116</v>
      </c>
      <c r="E62" s="9" t="s">
        <v>372</v>
      </c>
      <c r="F62" s="9"/>
      <c r="G62" s="9" t="s">
        <v>374</v>
      </c>
      <c r="H62" s="8"/>
      <c r="I62" s="8"/>
      <c r="J62" s="8"/>
      <c r="K62" s="8"/>
      <c r="L62" s="9" t="s">
        <v>371</v>
      </c>
      <c r="M62" s="8"/>
      <c r="N62" s="8"/>
      <c r="O62" s="8"/>
      <c r="P62" s="8"/>
      <c r="Q62" s="8"/>
      <c r="R62" s="9"/>
    </row>
    <row r="63" customFormat="false" ht="15" hidden="false" customHeight="false" outlineLevel="0" collapsed="false">
      <c r="A63" s="8" t="s">
        <v>376</v>
      </c>
      <c r="B63" s="8" t="s">
        <v>729</v>
      </c>
      <c r="C63" s="8"/>
      <c r="D63" s="8" t="s">
        <v>116</v>
      </c>
      <c r="E63" s="9" t="s">
        <v>375</v>
      </c>
      <c r="F63" s="9"/>
      <c r="G63" s="9" t="s">
        <v>377</v>
      </c>
      <c r="H63" s="8"/>
      <c r="I63" s="8"/>
      <c r="J63" s="8"/>
      <c r="K63" s="8"/>
      <c r="L63" s="9" t="s">
        <v>371</v>
      </c>
      <c r="M63" s="8"/>
      <c r="N63" s="8"/>
      <c r="O63" s="8"/>
      <c r="P63" s="8"/>
      <c r="Q63" s="8"/>
      <c r="R63" s="9"/>
    </row>
    <row r="64" customFormat="false" ht="23.85" hidden="false" customHeight="false" outlineLevel="0" collapsed="false">
      <c r="A64" s="8" t="s">
        <v>379</v>
      </c>
      <c r="B64" s="8" t="s">
        <v>729</v>
      </c>
      <c r="C64" s="8"/>
      <c r="D64" s="8" t="s">
        <v>135</v>
      </c>
      <c r="E64" s="9" t="s">
        <v>378</v>
      </c>
      <c r="F64" s="9" t="s">
        <v>380</v>
      </c>
      <c r="G64" s="9"/>
      <c r="H64" s="8"/>
      <c r="I64" s="8"/>
      <c r="J64" s="8"/>
      <c r="K64" s="8"/>
      <c r="L64" s="9" t="s">
        <v>371</v>
      </c>
      <c r="M64" s="8"/>
      <c r="N64" s="8"/>
      <c r="O64" s="8"/>
      <c r="P64" s="8"/>
      <c r="Q64" s="8"/>
      <c r="R64" s="9"/>
    </row>
    <row r="65" customFormat="false" ht="35.05" hidden="false" customHeight="false" outlineLevel="0" collapsed="false">
      <c r="A65" s="8" t="s">
        <v>382</v>
      </c>
      <c r="B65" s="8" t="s">
        <v>729</v>
      </c>
      <c r="C65" s="8"/>
      <c r="D65" s="8" t="s">
        <v>140</v>
      </c>
      <c r="E65" s="9" t="s">
        <v>381</v>
      </c>
      <c r="F65" s="9" t="s">
        <v>383</v>
      </c>
      <c r="G65" s="9"/>
      <c r="H65" s="8"/>
      <c r="I65" s="8"/>
      <c r="J65" s="8"/>
      <c r="K65" s="8"/>
      <c r="L65" s="9" t="s">
        <v>371</v>
      </c>
      <c r="M65" s="8"/>
      <c r="N65" s="8"/>
      <c r="O65" s="8"/>
      <c r="P65" s="8"/>
      <c r="Q65" s="8"/>
      <c r="R65" s="9"/>
    </row>
    <row r="66" customFormat="false" ht="23.85" hidden="false" customHeight="false" outlineLevel="0" collapsed="false">
      <c r="A66" s="8" t="s">
        <v>385</v>
      </c>
      <c r="B66" s="8" t="s">
        <v>729</v>
      </c>
      <c r="C66" s="8"/>
      <c r="D66" s="8" t="s">
        <v>308</v>
      </c>
      <c r="E66" s="9" t="s">
        <v>384</v>
      </c>
      <c r="F66" s="9"/>
      <c r="G66" s="9" t="s">
        <v>386</v>
      </c>
      <c r="H66" s="8"/>
      <c r="I66" s="8"/>
      <c r="J66" s="8"/>
      <c r="K66" s="8"/>
      <c r="L66" s="9" t="s">
        <v>371</v>
      </c>
      <c r="M66" s="8"/>
      <c r="N66" s="8"/>
      <c r="O66" s="8"/>
      <c r="P66" s="8"/>
      <c r="Q66" s="8"/>
      <c r="R66" s="9"/>
    </row>
    <row r="67" customFormat="false" ht="35.05" hidden="false" customHeight="false" outlineLevel="0" collapsed="false">
      <c r="A67" s="8" t="s">
        <v>388</v>
      </c>
      <c r="B67" s="8" t="s">
        <v>729</v>
      </c>
      <c r="C67" s="8" t="s">
        <v>732</v>
      </c>
      <c r="D67" s="8" t="s">
        <v>140</v>
      </c>
      <c r="E67" s="9" t="s">
        <v>387</v>
      </c>
      <c r="F67" s="9" t="s">
        <v>389</v>
      </c>
      <c r="G67" s="9"/>
      <c r="H67" s="8"/>
      <c r="I67" s="8"/>
      <c r="J67" s="8"/>
      <c r="K67" s="8"/>
      <c r="L67" s="9"/>
      <c r="M67" s="8"/>
      <c r="N67" s="8"/>
      <c r="O67" s="8"/>
      <c r="P67" s="8"/>
      <c r="Q67" s="8"/>
      <c r="R67" s="9"/>
    </row>
    <row r="68" customFormat="false" ht="23.85" hidden="false" customHeight="false" outlineLevel="0" collapsed="false">
      <c r="A68" s="8" t="s">
        <v>391</v>
      </c>
      <c r="B68" s="8" t="s">
        <v>729</v>
      </c>
      <c r="C68" s="8"/>
      <c r="D68" s="8" t="s">
        <v>140</v>
      </c>
      <c r="E68" s="9" t="s">
        <v>390</v>
      </c>
      <c r="F68" s="9" t="s">
        <v>392</v>
      </c>
      <c r="G68" s="9"/>
      <c r="H68" s="8"/>
      <c r="I68" s="8"/>
      <c r="J68" s="8"/>
      <c r="K68" s="8"/>
      <c r="L68" s="9"/>
      <c r="M68" s="8"/>
      <c r="N68" s="8"/>
      <c r="O68" s="8"/>
      <c r="P68" s="8"/>
      <c r="Q68" s="8"/>
      <c r="R68" s="9"/>
    </row>
    <row r="69" customFormat="false" ht="35.05" hidden="false" customHeight="false" outlineLevel="0" collapsed="false">
      <c r="A69" s="8" t="s">
        <v>394</v>
      </c>
      <c r="B69" s="8" t="s">
        <v>729</v>
      </c>
      <c r="C69" s="8"/>
      <c r="D69" s="8" t="s">
        <v>140</v>
      </c>
      <c r="E69" s="9" t="s">
        <v>393</v>
      </c>
      <c r="F69" s="9" t="s">
        <v>395</v>
      </c>
      <c r="G69" s="9"/>
      <c r="H69" s="8"/>
      <c r="I69" s="8"/>
      <c r="J69" s="8"/>
      <c r="K69" s="8"/>
      <c r="L69" s="9"/>
      <c r="M69" s="8"/>
      <c r="N69" s="8"/>
      <c r="O69" s="8"/>
      <c r="P69" s="8"/>
      <c r="Q69" s="8"/>
      <c r="R69" s="9"/>
    </row>
    <row r="70" customFormat="false" ht="23.85" hidden="false" customHeight="false" outlineLevel="0" collapsed="false">
      <c r="A70" s="8" t="s">
        <v>397</v>
      </c>
      <c r="B70" s="8" t="s">
        <v>729</v>
      </c>
      <c r="C70" s="8"/>
      <c r="D70" s="8" t="s">
        <v>398</v>
      </c>
      <c r="E70" s="9" t="s">
        <v>396</v>
      </c>
      <c r="F70" s="9"/>
      <c r="G70" s="9"/>
      <c r="H70" s="8"/>
      <c r="I70" s="8"/>
      <c r="J70" s="8"/>
      <c r="K70" s="8"/>
      <c r="L70" s="9"/>
      <c r="M70" s="8"/>
      <c r="N70" s="8"/>
      <c r="O70" s="8"/>
      <c r="P70" s="8"/>
      <c r="Q70" s="8"/>
      <c r="R70" s="9"/>
    </row>
    <row r="71" customFormat="false" ht="35.05" hidden="false" customHeight="false" outlineLevel="0" collapsed="false">
      <c r="A71" s="8" t="s">
        <v>401</v>
      </c>
      <c r="B71" s="8" t="s">
        <v>733</v>
      </c>
      <c r="C71" s="8" t="s">
        <v>734</v>
      </c>
      <c r="D71" s="8" t="s">
        <v>398</v>
      </c>
      <c r="E71" s="9" t="s">
        <v>400</v>
      </c>
      <c r="F71" s="9"/>
      <c r="G71" s="9" t="s">
        <v>735</v>
      </c>
      <c r="H71" s="8"/>
      <c r="I71" s="8"/>
      <c r="J71" s="8"/>
      <c r="K71" s="8"/>
      <c r="L71" s="9"/>
      <c r="M71" s="8"/>
      <c r="N71" s="8"/>
      <c r="O71" s="8"/>
      <c r="P71" s="8"/>
      <c r="Q71" s="8"/>
      <c r="R71" s="9" t="s">
        <v>736</v>
      </c>
    </row>
    <row r="72" customFormat="false" ht="23.85" hidden="false" customHeight="false" outlineLevel="0" collapsed="false">
      <c r="A72" s="8" t="s">
        <v>404</v>
      </c>
      <c r="B72" s="8" t="s">
        <v>733</v>
      </c>
      <c r="C72" s="8"/>
      <c r="D72" s="8" t="s">
        <v>398</v>
      </c>
      <c r="E72" s="9" t="s">
        <v>403</v>
      </c>
      <c r="F72" s="9"/>
      <c r="G72" s="9" t="s">
        <v>735</v>
      </c>
      <c r="H72" s="8"/>
      <c r="I72" s="8"/>
      <c r="J72" s="8"/>
      <c r="K72" s="8"/>
      <c r="L72" s="9"/>
      <c r="M72" s="8"/>
      <c r="N72" s="8"/>
      <c r="O72" s="8"/>
      <c r="P72" s="8"/>
      <c r="Q72" s="8"/>
      <c r="R72" s="9" t="s">
        <v>737</v>
      </c>
    </row>
    <row r="73" customFormat="false" ht="35.05" hidden="false" customHeight="false" outlineLevel="0" collapsed="false">
      <c r="A73" s="8" t="s">
        <v>407</v>
      </c>
      <c r="B73" s="8" t="s">
        <v>733</v>
      </c>
      <c r="C73" s="8"/>
      <c r="D73" s="8" t="s">
        <v>398</v>
      </c>
      <c r="E73" s="9" t="s">
        <v>406</v>
      </c>
      <c r="F73" s="9"/>
      <c r="G73" s="9" t="s">
        <v>735</v>
      </c>
      <c r="H73" s="8"/>
      <c r="I73" s="8"/>
      <c r="J73" s="8"/>
      <c r="K73" s="8"/>
      <c r="L73" s="9"/>
      <c r="M73" s="8"/>
      <c r="N73" s="8"/>
      <c r="O73" s="8"/>
      <c r="P73" s="8"/>
      <c r="Q73" s="8"/>
      <c r="R73" s="9" t="s">
        <v>738</v>
      </c>
    </row>
    <row r="74" customFormat="false" ht="23.85" hidden="false" customHeight="false" outlineLevel="0" collapsed="false">
      <c r="A74" s="8" t="s">
        <v>410</v>
      </c>
      <c r="B74" s="8" t="s">
        <v>733</v>
      </c>
      <c r="C74" s="8"/>
      <c r="D74" s="8" t="s">
        <v>398</v>
      </c>
      <c r="E74" s="9" t="s">
        <v>409</v>
      </c>
      <c r="F74" s="9"/>
      <c r="G74" s="9" t="s">
        <v>735</v>
      </c>
      <c r="H74" s="8"/>
      <c r="I74" s="8"/>
      <c r="J74" s="8"/>
      <c r="K74" s="8"/>
      <c r="L74" s="9"/>
      <c r="M74" s="8"/>
      <c r="N74" s="8"/>
      <c r="O74" s="8"/>
      <c r="P74" s="8"/>
      <c r="Q74" s="8"/>
      <c r="R74" s="9" t="s">
        <v>739</v>
      </c>
    </row>
    <row r="75" customFormat="false" ht="15" hidden="false" customHeight="false" outlineLevel="0" collapsed="false">
      <c r="A75" s="8" t="s">
        <v>413</v>
      </c>
      <c r="B75" s="8" t="s">
        <v>733</v>
      </c>
      <c r="C75" s="8"/>
      <c r="D75" s="8" t="s">
        <v>116</v>
      </c>
      <c r="E75" s="9" t="s">
        <v>412</v>
      </c>
      <c r="F75" s="9"/>
      <c r="G75" s="9"/>
      <c r="H75" s="8" t="s">
        <v>740</v>
      </c>
      <c r="I75" s="8"/>
      <c r="J75" s="8"/>
      <c r="K75" s="8"/>
      <c r="L75" s="9"/>
      <c r="M75" s="8"/>
      <c r="N75" s="8"/>
      <c r="O75" s="8"/>
      <c r="P75" s="8"/>
      <c r="Q75" s="8"/>
      <c r="R75" s="9" t="s">
        <v>414</v>
      </c>
    </row>
    <row r="76" customFormat="false" ht="35.05" hidden="false" customHeight="false" outlineLevel="0" collapsed="false">
      <c r="A76" s="8" t="s">
        <v>417</v>
      </c>
      <c r="B76" s="8" t="s">
        <v>741</v>
      </c>
      <c r="C76" s="8" t="s">
        <v>742</v>
      </c>
      <c r="D76" s="8" t="s">
        <v>398</v>
      </c>
      <c r="E76" s="9" t="s">
        <v>416</v>
      </c>
      <c r="F76" s="9"/>
      <c r="G76" s="9" t="s">
        <v>743</v>
      </c>
      <c r="H76" s="8"/>
      <c r="I76" s="8"/>
      <c r="J76" s="8"/>
      <c r="K76" s="8"/>
      <c r="L76" s="9"/>
      <c r="M76" s="8"/>
      <c r="N76" s="8"/>
      <c r="O76" s="8"/>
      <c r="P76" s="8"/>
      <c r="Q76" s="8"/>
      <c r="R76" s="9" t="s">
        <v>744</v>
      </c>
    </row>
    <row r="77" customFormat="false" ht="23.85" hidden="false" customHeight="false" outlineLevel="0" collapsed="false">
      <c r="A77" s="8" t="s">
        <v>420</v>
      </c>
      <c r="B77" s="8" t="s">
        <v>741</v>
      </c>
      <c r="C77" s="8"/>
      <c r="D77" s="8" t="s">
        <v>398</v>
      </c>
      <c r="E77" s="9" t="s">
        <v>419</v>
      </c>
      <c r="F77" s="9"/>
      <c r="G77" s="9" t="s">
        <v>743</v>
      </c>
      <c r="H77" s="8"/>
      <c r="I77" s="8"/>
      <c r="J77" s="8"/>
      <c r="K77" s="8"/>
      <c r="L77" s="9"/>
      <c r="M77" s="8"/>
      <c r="N77" s="8"/>
      <c r="O77" s="8"/>
      <c r="P77" s="8"/>
      <c r="Q77" s="8"/>
      <c r="R77" s="9" t="s">
        <v>745</v>
      </c>
    </row>
    <row r="78" customFormat="false" ht="23.85" hidden="false" customHeight="false" outlineLevel="0" collapsed="false">
      <c r="A78" s="8" t="s">
        <v>423</v>
      </c>
      <c r="B78" s="8" t="s">
        <v>741</v>
      </c>
      <c r="C78" s="8" t="s">
        <v>746</v>
      </c>
      <c r="D78" s="8" t="s">
        <v>116</v>
      </c>
      <c r="E78" s="9" t="s">
        <v>422</v>
      </c>
      <c r="F78" s="9"/>
      <c r="G78" s="9" t="s">
        <v>747</v>
      </c>
      <c r="H78" s="8"/>
      <c r="I78" s="8"/>
      <c r="J78" s="8"/>
      <c r="K78" s="8"/>
      <c r="L78" s="9"/>
      <c r="M78" s="8"/>
      <c r="N78" s="8"/>
      <c r="O78" s="8"/>
      <c r="P78" s="8"/>
      <c r="Q78" s="8"/>
      <c r="R78" s="9" t="s">
        <v>748</v>
      </c>
    </row>
    <row r="79" customFormat="false" ht="23.85" hidden="false" customHeight="false" outlineLevel="0" collapsed="false">
      <c r="A79" s="8" t="s">
        <v>426</v>
      </c>
      <c r="B79" s="8" t="s">
        <v>741</v>
      </c>
      <c r="C79" s="8"/>
      <c r="D79" s="8" t="s">
        <v>116</v>
      </c>
      <c r="E79" s="9" t="s">
        <v>425</v>
      </c>
      <c r="F79" s="9"/>
      <c r="G79" s="9" t="s">
        <v>747</v>
      </c>
      <c r="H79" s="8"/>
      <c r="I79" s="8"/>
      <c r="J79" s="8"/>
      <c r="K79" s="8"/>
      <c r="L79" s="9"/>
      <c r="M79" s="8"/>
      <c r="N79" s="8"/>
      <c r="O79" s="8"/>
      <c r="P79" s="8"/>
      <c r="Q79" s="8"/>
      <c r="R79" s="9" t="s">
        <v>748</v>
      </c>
    </row>
    <row r="80" customFormat="false" ht="15" hidden="false" customHeight="false" outlineLevel="0" collapsed="false">
      <c r="A80" s="8" t="s">
        <v>428</v>
      </c>
      <c r="B80" s="8" t="s">
        <v>741</v>
      </c>
      <c r="C80" s="8"/>
      <c r="D80" s="8" t="s">
        <v>128</v>
      </c>
      <c r="E80" s="9" t="s">
        <v>427</v>
      </c>
      <c r="F80" s="9" t="s">
        <v>429</v>
      </c>
      <c r="G80" s="9"/>
      <c r="H80" s="8"/>
      <c r="I80" s="8"/>
      <c r="J80" s="8"/>
      <c r="K80" s="8"/>
      <c r="L80" s="9"/>
      <c r="M80" s="8"/>
      <c r="N80" s="8"/>
      <c r="O80" s="8"/>
      <c r="P80" s="8"/>
      <c r="Q80" s="8"/>
      <c r="R8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44"/>
    <col collapsed="false" customWidth="true" hidden="false" outlineLevel="0" max="8" min="7" style="0" width="14"/>
    <col collapsed="false" customWidth="true" hidden="false" outlineLevel="0" max="10" min="9" style="0" width="8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5" min="14" style="0" width="10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46"/>
  </cols>
  <sheetData>
    <row r="1" customFormat="false" ht="68.65" hidden="false" customHeight="false" outlineLevel="0" collapsed="false">
      <c r="A1" s="7" t="s">
        <v>664</v>
      </c>
      <c r="B1" s="7" t="s">
        <v>665</v>
      </c>
      <c r="C1" s="7" t="s">
        <v>666</v>
      </c>
      <c r="D1" s="7" t="s">
        <v>667</v>
      </c>
      <c r="E1" s="7" t="s">
        <v>668</v>
      </c>
      <c r="F1" s="7" t="s">
        <v>669</v>
      </c>
      <c r="G1" s="7" t="s">
        <v>670</v>
      </c>
      <c r="H1" s="7" t="s">
        <v>671</v>
      </c>
      <c r="I1" s="7" t="s">
        <v>672</v>
      </c>
      <c r="J1" s="7" t="s">
        <v>673</v>
      </c>
      <c r="K1" s="7" t="s">
        <v>674</v>
      </c>
      <c r="L1" s="7" t="s">
        <v>675</v>
      </c>
      <c r="M1" s="7" t="s">
        <v>676</v>
      </c>
      <c r="N1" s="7" t="s">
        <v>677</v>
      </c>
      <c r="O1" s="7" t="s">
        <v>678</v>
      </c>
      <c r="P1" s="7" t="s">
        <v>679</v>
      </c>
      <c r="Q1" s="7" t="s">
        <v>680</v>
      </c>
      <c r="R1" s="7" t="s">
        <v>681</v>
      </c>
    </row>
    <row r="2" customFormat="false" ht="15" hidden="false" customHeight="false" outlineLevel="0" collapsed="false">
      <c r="A2" s="8" t="s">
        <v>651</v>
      </c>
      <c r="B2" s="8" t="s">
        <v>749</v>
      </c>
      <c r="C2" s="8" t="s">
        <v>578</v>
      </c>
      <c r="D2" s="8" t="s">
        <v>116</v>
      </c>
      <c r="E2" s="9" t="s">
        <v>650</v>
      </c>
      <c r="F2" s="9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 t="s">
        <v>750</v>
      </c>
    </row>
    <row r="3" customFormat="false" ht="15" hidden="false" customHeight="false" outlineLevel="0" collapsed="false">
      <c r="A3" s="8" t="s">
        <v>115</v>
      </c>
      <c r="B3" s="8" t="s">
        <v>749</v>
      </c>
      <c r="C3" s="8" t="s">
        <v>578</v>
      </c>
      <c r="D3" s="8" t="s">
        <v>116</v>
      </c>
      <c r="E3" s="9" t="s">
        <v>114</v>
      </c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 t="s">
        <v>751</v>
      </c>
    </row>
    <row r="4" customFormat="false" ht="23.85" hidden="false" customHeight="false" outlineLevel="0" collapsed="false">
      <c r="A4" s="8" t="s">
        <v>121</v>
      </c>
      <c r="B4" s="8" t="s">
        <v>682</v>
      </c>
      <c r="C4" s="8" t="s">
        <v>113</v>
      </c>
      <c r="D4" s="8" t="s">
        <v>116</v>
      </c>
      <c r="E4" s="9" t="s">
        <v>120</v>
      </c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 t="s">
        <v>752</v>
      </c>
    </row>
    <row r="5" customFormat="false" ht="23.85" hidden="false" customHeight="false" outlineLevel="0" collapsed="false">
      <c r="A5" s="8" t="s">
        <v>127</v>
      </c>
      <c r="B5" s="8" t="s">
        <v>682</v>
      </c>
      <c r="C5" s="8" t="s">
        <v>113</v>
      </c>
      <c r="D5" s="8" t="s">
        <v>128</v>
      </c>
      <c r="E5" s="9" t="s">
        <v>126</v>
      </c>
      <c r="F5" s="9" t="s">
        <v>129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 t="s">
        <v>753</v>
      </c>
    </row>
    <row r="6" customFormat="false" ht="23.85" hidden="false" customHeight="false" outlineLevel="0" collapsed="false">
      <c r="A6" s="8" t="s">
        <v>134</v>
      </c>
      <c r="B6" s="8" t="s">
        <v>682</v>
      </c>
      <c r="C6" s="8" t="s">
        <v>113</v>
      </c>
      <c r="D6" s="8" t="s">
        <v>135</v>
      </c>
      <c r="E6" s="9" t="s">
        <v>133</v>
      </c>
      <c r="F6" s="9" t="s">
        <v>136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9" t="s">
        <v>754</v>
      </c>
    </row>
    <row r="7" customFormat="false" ht="23.85" hidden="false" customHeight="false" outlineLevel="0" collapsed="false">
      <c r="A7" s="8" t="s">
        <v>431</v>
      </c>
      <c r="B7" s="8" t="s">
        <v>682</v>
      </c>
      <c r="C7" s="8" t="s">
        <v>113</v>
      </c>
      <c r="D7" s="8" t="s">
        <v>135</v>
      </c>
      <c r="E7" s="9" t="s">
        <v>430</v>
      </c>
      <c r="F7" s="9" t="s">
        <v>432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 t="s">
        <v>755</v>
      </c>
    </row>
    <row r="8" customFormat="false" ht="35.05" hidden="false" customHeight="false" outlineLevel="0" collapsed="false">
      <c r="A8" s="8" t="s">
        <v>139</v>
      </c>
      <c r="B8" s="8" t="s">
        <v>682</v>
      </c>
      <c r="C8" s="8" t="s">
        <v>113</v>
      </c>
      <c r="D8" s="8" t="s">
        <v>140</v>
      </c>
      <c r="E8" s="9" t="s">
        <v>579</v>
      </c>
      <c r="F8" s="9" t="s">
        <v>141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9" t="s">
        <v>756</v>
      </c>
    </row>
    <row r="9" customFormat="false" ht="23.85" hidden="false" customHeight="false" outlineLevel="0" collapsed="false">
      <c r="A9" s="8" t="s">
        <v>146</v>
      </c>
      <c r="B9" s="8" t="s">
        <v>682</v>
      </c>
      <c r="C9" s="8" t="s">
        <v>113</v>
      </c>
      <c r="D9" s="8" t="s">
        <v>128</v>
      </c>
      <c r="E9" s="9" t="s">
        <v>145</v>
      </c>
      <c r="F9" s="9" t="s">
        <v>147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 t="s">
        <v>757</v>
      </c>
    </row>
    <row r="10" customFormat="false" ht="35.05" hidden="false" customHeight="false" outlineLevel="0" collapsed="false">
      <c r="A10" s="8" t="s">
        <v>155</v>
      </c>
      <c r="B10" s="8" t="s">
        <v>682</v>
      </c>
      <c r="C10" s="8" t="s">
        <v>113</v>
      </c>
      <c r="D10" s="8" t="s">
        <v>135</v>
      </c>
      <c r="E10" s="9" t="s">
        <v>580</v>
      </c>
      <c r="F10" s="9" t="s">
        <v>653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 t="s">
        <v>754</v>
      </c>
    </row>
    <row r="11" customFormat="false" ht="23.85" hidden="false" customHeight="false" outlineLevel="0" collapsed="false">
      <c r="A11" s="8" t="s">
        <v>435</v>
      </c>
      <c r="B11" s="8" t="s">
        <v>682</v>
      </c>
      <c r="C11" s="8" t="s">
        <v>113</v>
      </c>
      <c r="D11" s="8" t="s">
        <v>135</v>
      </c>
      <c r="E11" s="9" t="s">
        <v>434</v>
      </c>
      <c r="F11" s="9" t="s">
        <v>436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 t="s">
        <v>755</v>
      </c>
    </row>
    <row r="12" customFormat="false" ht="23.85" hidden="false" customHeight="false" outlineLevel="0" collapsed="false">
      <c r="A12" s="8" t="s">
        <v>438</v>
      </c>
      <c r="B12" s="8" t="s">
        <v>682</v>
      </c>
      <c r="C12" s="8" t="s">
        <v>113</v>
      </c>
      <c r="D12" s="8" t="s">
        <v>135</v>
      </c>
      <c r="E12" s="9" t="s">
        <v>437</v>
      </c>
      <c r="F12" s="9" t="s">
        <v>439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 t="s">
        <v>755</v>
      </c>
    </row>
    <row r="13" customFormat="false" ht="23.85" hidden="false" customHeight="false" outlineLevel="0" collapsed="false">
      <c r="A13" s="8" t="s">
        <v>441</v>
      </c>
      <c r="B13" s="8" t="s">
        <v>682</v>
      </c>
      <c r="C13" s="8" t="s">
        <v>113</v>
      </c>
      <c r="D13" s="8" t="s">
        <v>140</v>
      </c>
      <c r="E13" s="9" t="s">
        <v>440</v>
      </c>
      <c r="F13" s="9" t="s">
        <v>442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 t="s">
        <v>758</v>
      </c>
    </row>
    <row r="14" customFormat="false" ht="23.85" hidden="false" customHeight="false" outlineLevel="0" collapsed="false">
      <c r="A14" s="8" t="s">
        <v>249</v>
      </c>
      <c r="B14" s="8" t="s">
        <v>759</v>
      </c>
      <c r="C14" s="8" t="s">
        <v>444</v>
      </c>
      <c r="D14" s="8" t="s">
        <v>116</v>
      </c>
      <c r="E14" s="9" t="s">
        <v>248</v>
      </c>
      <c r="F14" s="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 t="s">
        <v>760</v>
      </c>
    </row>
    <row r="15" customFormat="false" ht="46.25" hidden="false" customHeight="false" outlineLevel="0" collapsed="false">
      <c r="A15" s="8" t="s">
        <v>254</v>
      </c>
      <c r="B15" s="8" t="s">
        <v>759</v>
      </c>
      <c r="C15" s="8" t="s">
        <v>444</v>
      </c>
      <c r="D15" s="8" t="s">
        <v>135</v>
      </c>
      <c r="E15" s="9" t="s">
        <v>253</v>
      </c>
      <c r="F15" s="9" t="s">
        <v>255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 t="s">
        <v>761</v>
      </c>
    </row>
    <row r="16" customFormat="false" ht="23.85" hidden="false" customHeight="false" outlineLevel="0" collapsed="false">
      <c r="A16" s="8" t="s">
        <v>260</v>
      </c>
      <c r="B16" s="8" t="s">
        <v>759</v>
      </c>
      <c r="C16" s="8" t="s">
        <v>444</v>
      </c>
      <c r="D16" s="8" t="s">
        <v>135</v>
      </c>
      <c r="E16" s="9" t="s">
        <v>259</v>
      </c>
      <c r="F16" s="9" t="s">
        <v>261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 t="s">
        <v>762</v>
      </c>
    </row>
    <row r="17" customFormat="false" ht="23.85" hidden="false" customHeight="false" outlineLevel="0" collapsed="false">
      <c r="A17" s="8" t="s">
        <v>266</v>
      </c>
      <c r="B17" s="8" t="s">
        <v>759</v>
      </c>
      <c r="C17" s="8" t="s">
        <v>444</v>
      </c>
      <c r="D17" s="8" t="s">
        <v>116</v>
      </c>
      <c r="E17" s="9" t="s">
        <v>265</v>
      </c>
      <c r="F17" s="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 t="s">
        <v>763</v>
      </c>
    </row>
    <row r="18" customFormat="false" ht="23.85" hidden="false" customHeight="false" outlineLevel="0" collapsed="false">
      <c r="A18" s="8" t="s">
        <v>272</v>
      </c>
      <c r="B18" s="8" t="s">
        <v>759</v>
      </c>
      <c r="C18" s="8" t="s">
        <v>444</v>
      </c>
      <c r="D18" s="8" t="s">
        <v>135</v>
      </c>
      <c r="E18" s="9" t="s">
        <v>271</v>
      </c>
      <c r="F18" s="9" t="s">
        <v>273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9" t="s">
        <v>764</v>
      </c>
    </row>
    <row r="19" customFormat="false" ht="23.85" hidden="false" customHeight="false" outlineLevel="0" collapsed="false">
      <c r="A19" s="8" t="s">
        <v>278</v>
      </c>
      <c r="B19" s="8" t="s">
        <v>759</v>
      </c>
      <c r="C19" s="8" t="s">
        <v>444</v>
      </c>
      <c r="D19" s="8" t="s">
        <v>135</v>
      </c>
      <c r="E19" s="9" t="s">
        <v>277</v>
      </c>
      <c r="F19" s="9" t="s">
        <v>655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 t="s">
        <v>765</v>
      </c>
    </row>
    <row r="20" customFormat="false" ht="23.85" hidden="false" customHeight="false" outlineLevel="0" collapsed="false">
      <c r="A20" s="8" t="s">
        <v>446</v>
      </c>
      <c r="B20" s="8" t="s">
        <v>759</v>
      </c>
      <c r="C20" s="8" t="s">
        <v>444</v>
      </c>
      <c r="D20" s="8" t="s">
        <v>308</v>
      </c>
      <c r="E20" s="9" t="s">
        <v>445</v>
      </c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 t="s">
        <v>766</v>
      </c>
    </row>
    <row r="21" customFormat="false" ht="23.85" hidden="false" customHeight="false" outlineLevel="0" collapsed="false">
      <c r="A21" s="8" t="s">
        <v>284</v>
      </c>
      <c r="B21" s="8" t="s">
        <v>767</v>
      </c>
      <c r="C21" s="8" t="s">
        <v>581</v>
      </c>
      <c r="D21" s="8" t="s">
        <v>135</v>
      </c>
      <c r="E21" s="9" t="s">
        <v>283</v>
      </c>
      <c r="F21" s="9" t="s">
        <v>656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 t="s">
        <v>768</v>
      </c>
    </row>
    <row r="22" customFormat="false" ht="23.85" hidden="false" customHeight="false" outlineLevel="0" collapsed="false">
      <c r="A22" s="8" t="s">
        <v>290</v>
      </c>
      <c r="B22" s="8" t="s">
        <v>767</v>
      </c>
      <c r="C22" s="8" t="s">
        <v>581</v>
      </c>
      <c r="D22" s="8" t="s">
        <v>135</v>
      </c>
      <c r="E22" s="9" t="s">
        <v>289</v>
      </c>
      <c r="F22" s="9" t="s">
        <v>657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 t="s">
        <v>769</v>
      </c>
    </row>
    <row r="23" customFormat="false" ht="23.85" hidden="false" customHeight="false" outlineLevel="0" collapsed="false">
      <c r="A23" s="8" t="s">
        <v>297</v>
      </c>
      <c r="B23" s="8" t="s">
        <v>767</v>
      </c>
      <c r="C23" s="8" t="s">
        <v>581</v>
      </c>
      <c r="D23" s="8" t="s">
        <v>135</v>
      </c>
      <c r="E23" s="9" t="s">
        <v>296</v>
      </c>
      <c r="F23" s="9" t="s">
        <v>657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 t="s">
        <v>770</v>
      </c>
    </row>
    <row r="24" customFormat="false" ht="23.85" hidden="false" customHeight="false" outlineLevel="0" collapsed="false">
      <c r="A24" s="8" t="s">
        <v>302</v>
      </c>
      <c r="B24" s="8" t="s">
        <v>767</v>
      </c>
      <c r="C24" s="8" t="s">
        <v>581</v>
      </c>
      <c r="D24" s="8" t="s">
        <v>135</v>
      </c>
      <c r="E24" s="9" t="s">
        <v>301</v>
      </c>
      <c r="F24" s="9" t="s">
        <v>657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9" t="s">
        <v>771</v>
      </c>
    </row>
    <row r="25" customFormat="false" ht="23.85" hidden="false" customHeight="false" outlineLevel="0" collapsed="false">
      <c r="A25" s="8" t="s">
        <v>307</v>
      </c>
      <c r="B25" s="8" t="s">
        <v>772</v>
      </c>
      <c r="C25" s="8" t="s">
        <v>582</v>
      </c>
      <c r="D25" s="8" t="s">
        <v>308</v>
      </c>
      <c r="E25" s="9" t="s">
        <v>306</v>
      </c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 t="s">
        <v>773</v>
      </c>
    </row>
    <row r="26" customFormat="false" ht="23.85" hidden="false" customHeight="false" outlineLevel="0" collapsed="false">
      <c r="A26" s="8" t="s">
        <v>313</v>
      </c>
      <c r="B26" s="8" t="s">
        <v>772</v>
      </c>
      <c r="C26" s="8" t="s">
        <v>582</v>
      </c>
      <c r="D26" s="8" t="s">
        <v>308</v>
      </c>
      <c r="E26" s="9" t="s">
        <v>312</v>
      </c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9" t="s">
        <v>774</v>
      </c>
    </row>
    <row r="27" customFormat="false" ht="23.85" hidden="false" customHeight="false" outlineLevel="0" collapsed="false">
      <c r="A27" s="8" t="s">
        <v>318</v>
      </c>
      <c r="B27" s="8" t="s">
        <v>772</v>
      </c>
      <c r="C27" s="8" t="s">
        <v>582</v>
      </c>
      <c r="D27" s="8" t="s">
        <v>308</v>
      </c>
      <c r="E27" s="9" t="s">
        <v>317</v>
      </c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9" t="s">
        <v>775</v>
      </c>
    </row>
    <row r="28" customFormat="false" ht="23.85" hidden="false" customHeight="false" outlineLevel="0" collapsed="false">
      <c r="A28" s="8" t="s">
        <v>323</v>
      </c>
      <c r="B28" s="8" t="s">
        <v>772</v>
      </c>
      <c r="C28" s="8" t="s">
        <v>582</v>
      </c>
      <c r="D28" s="8" t="s">
        <v>308</v>
      </c>
      <c r="E28" s="9" t="s">
        <v>322</v>
      </c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9" t="s">
        <v>776</v>
      </c>
    </row>
    <row r="29" customFormat="false" ht="23.85" hidden="false" customHeight="false" outlineLevel="0" collapsed="false">
      <c r="A29" s="8" t="s">
        <v>328</v>
      </c>
      <c r="B29" s="8" t="s">
        <v>772</v>
      </c>
      <c r="C29" s="8" t="s">
        <v>582</v>
      </c>
      <c r="D29" s="8" t="s">
        <v>308</v>
      </c>
      <c r="E29" s="9" t="s">
        <v>583</v>
      </c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 t="s">
        <v>777</v>
      </c>
    </row>
    <row r="30" customFormat="false" ht="23.85" hidden="false" customHeight="false" outlineLevel="0" collapsed="false">
      <c r="A30" s="8" t="s">
        <v>333</v>
      </c>
      <c r="B30" s="8" t="s">
        <v>778</v>
      </c>
      <c r="C30" s="8" t="s">
        <v>584</v>
      </c>
      <c r="D30" s="8" t="s">
        <v>116</v>
      </c>
      <c r="E30" s="9" t="s">
        <v>332</v>
      </c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 t="s">
        <v>779</v>
      </c>
    </row>
    <row r="31" customFormat="false" ht="23.85" hidden="false" customHeight="false" outlineLevel="0" collapsed="false">
      <c r="A31" s="8" t="s">
        <v>338</v>
      </c>
      <c r="B31" s="8" t="s">
        <v>778</v>
      </c>
      <c r="C31" s="8" t="s">
        <v>584</v>
      </c>
      <c r="D31" s="8" t="s">
        <v>135</v>
      </c>
      <c r="E31" s="9" t="s">
        <v>337</v>
      </c>
      <c r="F31" s="9" t="s">
        <v>339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 t="s">
        <v>780</v>
      </c>
    </row>
    <row r="32" customFormat="false" ht="23.85" hidden="false" customHeight="false" outlineLevel="0" collapsed="false">
      <c r="A32" s="8" t="s">
        <v>345</v>
      </c>
      <c r="B32" s="8" t="s">
        <v>781</v>
      </c>
      <c r="C32" s="8" t="s">
        <v>343</v>
      </c>
      <c r="D32" s="8" t="s">
        <v>128</v>
      </c>
      <c r="E32" s="9" t="s">
        <v>585</v>
      </c>
      <c r="F32" s="9" t="s">
        <v>346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9" t="s">
        <v>782</v>
      </c>
    </row>
    <row r="33" customFormat="false" ht="23.85" hidden="false" customHeight="false" outlineLevel="0" collapsed="false">
      <c r="A33" s="8" t="s">
        <v>348</v>
      </c>
      <c r="B33" s="8" t="s">
        <v>781</v>
      </c>
      <c r="C33" s="8" t="s">
        <v>343</v>
      </c>
      <c r="D33" s="8" t="s">
        <v>128</v>
      </c>
      <c r="E33" s="9" t="s">
        <v>586</v>
      </c>
      <c r="F33" s="9" t="s">
        <v>349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 t="s">
        <v>751</v>
      </c>
    </row>
    <row r="34" customFormat="false" ht="23.85" hidden="false" customHeight="false" outlineLevel="0" collapsed="false">
      <c r="A34" s="8" t="s">
        <v>351</v>
      </c>
      <c r="B34" s="8" t="s">
        <v>781</v>
      </c>
      <c r="C34" s="8" t="s">
        <v>343</v>
      </c>
      <c r="D34" s="8" t="s">
        <v>128</v>
      </c>
      <c r="E34" s="9" t="s">
        <v>587</v>
      </c>
      <c r="F34" s="9" t="s">
        <v>352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 t="s">
        <v>751</v>
      </c>
    </row>
    <row r="35" customFormat="false" ht="15" hidden="false" customHeight="false" outlineLevel="0" collapsed="false">
      <c r="A35" s="8" t="s">
        <v>451</v>
      </c>
      <c r="B35" s="8" t="s">
        <v>781</v>
      </c>
      <c r="C35" s="8" t="s">
        <v>343</v>
      </c>
      <c r="D35" s="8" t="s">
        <v>116</v>
      </c>
      <c r="E35" s="9" t="s">
        <v>450</v>
      </c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 t="s">
        <v>783</v>
      </c>
    </row>
    <row r="36" customFormat="false" ht="23.85" hidden="false" customHeight="false" outlineLevel="0" collapsed="false">
      <c r="A36" s="8" t="s">
        <v>455</v>
      </c>
      <c r="B36" s="8" t="s">
        <v>784</v>
      </c>
      <c r="C36" s="8" t="s">
        <v>453</v>
      </c>
      <c r="D36" s="8" t="s">
        <v>135</v>
      </c>
      <c r="E36" s="9" t="s">
        <v>454</v>
      </c>
      <c r="F36" s="9" t="s">
        <v>456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9" t="s">
        <v>785</v>
      </c>
    </row>
    <row r="37" customFormat="false" ht="23.85" hidden="false" customHeight="false" outlineLevel="0" collapsed="false">
      <c r="A37" s="8" t="s">
        <v>458</v>
      </c>
      <c r="B37" s="8" t="s">
        <v>784</v>
      </c>
      <c r="C37" s="8" t="s">
        <v>453</v>
      </c>
      <c r="D37" s="8" t="s">
        <v>116</v>
      </c>
      <c r="E37" s="9" t="s">
        <v>457</v>
      </c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 t="s">
        <v>785</v>
      </c>
    </row>
    <row r="38" customFormat="false" ht="23.85" hidden="false" customHeight="false" outlineLevel="0" collapsed="false">
      <c r="A38" s="8" t="s">
        <v>460</v>
      </c>
      <c r="B38" s="8" t="s">
        <v>784</v>
      </c>
      <c r="C38" s="8" t="s">
        <v>453</v>
      </c>
      <c r="D38" s="8" t="s">
        <v>135</v>
      </c>
      <c r="E38" s="9" t="s">
        <v>459</v>
      </c>
      <c r="F38" s="9" t="s">
        <v>461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9" t="s">
        <v>785</v>
      </c>
    </row>
    <row r="39" customFormat="false" ht="15" hidden="false" customHeight="false" outlineLevel="0" collapsed="false">
      <c r="A39" s="8" t="s">
        <v>367</v>
      </c>
      <c r="B39" s="8" t="s">
        <v>786</v>
      </c>
      <c r="C39" s="8" t="s">
        <v>365</v>
      </c>
      <c r="D39" s="8" t="s">
        <v>308</v>
      </c>
      <c r="E39" s="9" t="s">
        <v>658</v>
      </c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9" t="s">
        <v>787</v>
      </c>
    </row>
    <row r="40" customFormat="false" ht="35.05" hidden="false" customHeight="false" outlineLevel="0" collapsed="false">
      <c r="A40" s="8" t="s">
        <v>369</v>
      </c>
      <c r="B40" s="8" t="s">
        <v>786</v>
      </c>
      <c r="C40" s="8" t="s">
        <v>365</v>
      </c>
      <c r="D40" s="8" t="s">
        <v>140</v>
      </c>
      <c r="E40" s="9" t="s">
        <v>659</v>
      </c>
      <c r="F40" s="9" t="s">
        <v>660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9" t="s">
        <v>787</v>
      </c>
    </row>
    <row r="41" customFormat="false" ht="15" hidden="false" customHeight="false" outlineLevel="0" collapsed="false">
      <c r="A41" s="8" t="s">
        <v>463</v>
      </c>
      <c r="B41" s="8" t="s">
        <v>786</v>
      </c>
      <c r="C41" s="8" t="s">
        <v>365</v>
      </c>
      <c r="D41" s="8" t="s">
        <v>308</v>
      </c>
      <c r="E41" s="9" t="s">
        <v>462</v>
      </c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 t="s">
        <v>787</v>
      </c>
    </row>
    <row r="42" customFormat="false" ht="23.85" hidden="false" customHeight="false" outlineLevel="0" collapsed="false">
      <c r="A42" s="8" t="s">
        <v>388</v>
      </c>
      <c r="B42" s="8" t="s">
        <v>786</v>
      </c>
      <c r="C42" s="8" t="s">
        <v>365</v>
      </c>
      <c r="D42" s="8" t="s">
        <v>140</v>
      </c>
      <c r="E42" s="9" t="s">
        <v>661</v>
      </c>
      <c r="F42" s="9" t="s">
        <v>662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9" t="s">
        <v>787</v>
      </c>
    </row>
    <row r="43" customFormat="false" ht="23.85" hidden="false" customHeight="false" outlineLevel="0" collapsed="false">
      <c r="A43" s="8" t="s">
        <v>466</v>
      </c>
      <c r="B43" s="8" t="s">
        <v>788</v>
      </c>
      <c r="C43" s="8" t="s">
        <v>464</v>
      </c>
      <c r="D43" s="8" t="s">
        <v>308</v>
      </c>
      <c r="E43" s="9" t="s">
        <v>465</v>
      </c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 t="s">
        <v>766</v>
      </c>
    </row>
    <row r="44" customFormat="false" ht="23.85" hidden="false" customHeight="false" outlineLevel="0" collapsed="false">
      <c r="A44" s="8" t="s">
        <v>468</v>
      </c>
      <c r="B44" s="8" t="s">
        <v>788</v>
      </c>
      <c r="C44" s="8" t="s">
        <v>464</v>
      </c>
      <c r="D44" s="8" t="s">
        <v>140</v>
      </c>
      <c r="E44" s="9" t="s">
        <v>467</v>
      </c>
      <c r="F44" s="9" t="s">
        <v>469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9" t="s">
        <v>766</v>
      </c>
    </row>
    <row r="45" customFormat="false" ht="23.85" hidden="false" customHeight="false" outlineLevel="0" collapsed="false">
      <c r="A45" s="8" t="s">
        <v>472</v>
      </c>
      <c r="B45" s="8" t="s">
        <v>789</v>
      </c>
      <c r="C45" s="8" t="s">
        <v>470</v>
      </c>
      <c r="D45" s="8" t="s">
        <v>308</v>
      </c>
      <c r="E45" s="9" t="s">
        <v>471</v>
      </c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 t="s">
        <v>758</v>
      </c>
    </row>
    <row r="46" customFormat="false" ht="23.85" hidden="false" customHeight="false" outlineLevel="0" collapsed="false">
      <c r="A46" s="8" t="s">
        <v>474</v>
      </c>
      <c r="B46" s="8" t="s">
        <v>789</v>
      </c>
      <c r="C46" s="8" t="s">
        <v>470</v>
      </c>
      <c r="D46" s="8" t="s">
        <v>128</v>
      </c>
      <c r="E46" s="9" t="s">
        <v>473</v>
      </c>
      <c r="F46" s="9" t="s">
        <v>475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 t="s">
        <v>790</v>
      </c>
    </row>
    <row r="47" customFormat="false" ht="23.85" hidden="false" customHeight="false" outlineLevel="0" collapsed="false">
      <c r="A47" s="8" t="s">
        <v>478</v>
      </c>
      <c r="B47" s="8" t="s">
        <v>789</v>
      </c>
      <c r="C47" s="8" t="s">
        <v>470</v>
      </c>
      <c r="D47" s="8" t="s">
        <v>308</v>
      </c>
      <c r="E47" s="9" t="s">
        <v>477</v>
      </c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 t="s">
        <v>790</v>
      </c>
    </row>
    <row r="48" customFormat="false" ht="23.85" hidden="false" customHeight="false" outlineLevel="0" collapsed="false">
      <c r="A48" s="8" t="s">
        <v>480</v>
      </c>
      <c r="B48" s="8" t="s">
        <v>789</v>
      </c>
      <c r="C48" s="8" t="s">
        <v>470</v>
      </c>
      <c r="D48" s="8" t="s">
        <v>128</v>
      </c>
      <c r="E48" s="9" t="s">
        <v>479</v>
      </c>
      <c r="F48" s="9" t="s">
        <v>481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9" t="s">
        <v>790</v>
      </c>
    </row>
    <row r="49" customFormat="false" ht="23.85" hidden="false" customHeight="false" outlineLevel="0" collapsed="false">
      <c r="A49" s="8" t="s">
        <v>484</v>
      </c>
      <c r="B49" s="8" t="s">
        <v>791</v>
      </c>
      <c r="C49" s="8" t="s">
        <v>482</v>
      </c>
      <c r="D49" s="8" t="s">
        <v>128</v>
      </c>
      <c r="E49" s="9" t="s">
        <v>483</v>
      </c>
      <c r="F49" s="9" t="s">
        <v>485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 t="s">
        <v>792</v>
      </c>
    </row>
    <row r="50" customFormat="false" ht="23.85" hidden="false" customHeight="false" outlineLevel="0" collapsed="false">
      <c r="A50" s="8" t="s">
        <v>488</v>
      </c>
      <c r="B50" s="8" t="s">
        <v>791</v>
      </c>
      <c r="C50" s="8" t="s">
        <v>482</v>
      </c>
      <c r="D50" s="8" t="s">
        <v>128</v>
      </c>
      <c r="E50" s="9" t="s">
        <v>487</v>
      </c>
      <c r="F50" s="9" t="s">
        <v>489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9" t="s">
        <v>792</v>
      </c>
    </row>
    <row r="51" customFormat="false" ht="23.85" hidden="false" customHeight="false" outlineLevel="0" collapsed="false">
      <c r="A51" s="8" t="s">
        <v>491</v>
      </c>
      <c r="B51" s="8" t="s">
        <v>791</v>
      </c>
      <c r="C51" s="8" t="s">
        <v>482</v>
      </c>
      <c r="D51" s="8" t="s">
        <v>128</v>
      </c>
      <c r="E51" s="9" t="s">
        <v>490</v>
      </c>
      <c r="F51" s="9" t="s">
        <v>492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 t="s">
        <v>792</v>
      </c>
    </row>
    <row r="52" customFormat="false" ht="23.85" hidden="false" customHeight="false" outlineLevel="0" collapsed="false">
      <c r="A52" s="8" t="s">
        <v>494</v>
      </c>
      <c r="B52" s="8" t="s">
        <v>791</v>
      </c>
      <c r="C52" s="8" t="s">
        <v>482</v>
      </c>
      <c r="D52" s="8" t="s">
        <v>128</v>
      </c>
      <c r="E52" s="9" t="s">
        <v>493</v>
      </c>
      <c r="F52" s="9" t="s">
        <v>485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9" t="s">
        <v>792</v>
      </c>
    </row>
    <row r="53" customFormat="false" ht="23.85" hidden="false" customHeight="false" outlineLevel="0" collapsed="false">
      <c r="A53" s="8" t="s">
        <v>497</v>
      </c>
      <c r="B53" s="8" t="s">
        <v>793</v>
      </c>
      <c r="C53" s="8" t="s">
        <v>495</v>
      </c>
      <c r="D53" s="8" t="s">
        <v>116</v>
      </c>
      <c r="E53" s="9" t="s">
        <v>496</v>
      </c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9" t="s">
        <v>794</v>
      </c>
    </row>
    <row r="54" customFormat="false" ht="23.85" hidden="false" customHeight="false" outlineLevel="0" collapsed="false">
      <c r="A54" s="8" t="s">
        <v>500</v>
      </c>
      <c r="B54" s="8" t="s">
        <v>793</v>
      </c>
      <c r="C54" s="8" t="s">
        <v>495</v>
      </c>
      <c r="D54" s="8" t="s">
        <v>116</v>
      </c>
      <c r="E54" s="9" t="s">
        <v>499</v>
      </c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9" t="s">
        <v>795</v>
      </c>
    </row>
    <row r="55" customFormat="false" ht="23.85" hidden="false" customHeight="false" outlineLevel="0" collapsed="false">
      <c r="A55" s="8" t="s">
        <v>502</v>
      </c>
      <c r="B55" s="8" t="s">
        <v>793</v>
      </c>
      <c r="C55" s="8" t="s">
        <v>495</v>
      </c>
      <c r="D55" s="8" t="s">
        <v>116</v>
      </c>
      <c r="E55" s="9" t="s">
        <v>375</v>
      </c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 t="s">
        <v>795</v>
      </c>
    </row>
    <row r="56" customFormat="false" ht="23.85" hidden="false" customHeight="false" outlineLevel="0" collapsed="false">
      <c r="A56" s="8" t="s">
        <v>504</v>
      </c>
      <c r="B56" s="8" t="s">
        <v>793</v>
      </c>
      <c r="C56" s="8" t="s">
        <v>495</v>
      </c>
      <c r="D56" s="8" t="s">
        <v>135</v>
      </c>
      <c r="E56" s="9" t="s">
        <v>503</v>
      </c>
      <c r="F56" s="9" t="s">
        <v>505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9" t="s">
        <v>795</v>
      </c>
    </row>
    <row r="57" customFormat="false" ht="23.85" hidden="false" customHeight="false" outlineLevel="0" collapsed="false">
      <c r="A57" s="8" t="s">
        <v>507</v>
      </c>
      <c r="B57" s="8" t="s">
        <v>793</v>
      </c>
      <c r="C57" s="8" t="s">
        <v>495</v>
      </c>
      <c r="D57" s="8" t="s">
        <v>116</v>
      </c>
      <c r="E57" s="9" t="s">
        <v>506</v>
      </c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9" t="s">
        <v>795</v>
      </c>
    </row>
    <row r="58" customFormat="false" ht="23.85" hidden="false" customHeight="false" outlineLevel="0" collapsed="false">
      <c r="A58" s="8" t="s">
        <v>509</v>
      </c>
      <c r="B58" s="8" t="s">
        <v>793</v>
      </c>
      <c r="C58" s="8" t="s">
        <v>495</v>
      </c>
      <c r="D58" s="8" t="s">
        <v>308</v>
      </c>
      <c r="E58" s="9" t="s">
        <v>508</v>
      </c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9" t="s">
        <v>795</v>
      </c>
    </row>
    <row r="59" customFormat="false" ht="35.05" hidden="false" customHeight="false" outlineLevel="0" collapsed="false">
      <c r="A59" s="8" t="s">
        <v>511</v>
      </c>
      <c r="B59" s="8" t="s">
        <v>793</v>
      </c>
      <c r="C59" s="8" t="s">
        <v>495</v>
      </c>
      <c r="D59" s="8" t="s">
        <v>308</v>
      </c>
      <c r="E59" s="9" t="s">
        <v>510</v>
      </c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9" t="s">
        <v>796</v>
      </c>
    </row>
    <row r="60" customFormat="false" ht="23.85" hidden="false" customHeight="false" outlineLevel="0" collapsed="false">
      <c r="A60" s="8" t="s">
        <v>514</v>
      </c>
      <c r="B60" s="8" t="s">
        <v>793</v>
      </c>
      <c r="C60" s="8" t="s">
        <v>495</v>
      </c>
      <c r="D60" s="8" t="s">
        <v>116</v>
      </c>
      <c r="E60" s="9" t="s">
        <v>513</v>
      </c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9" t="s">
        <v>797</v>
      </c>
    </row>
    <row r="61" customFormat="false" ht="23.85" hidden="false" customHeight="false" outlineLevel="0" collapsed="false">
      <c r="A61" s="8" t="s">
        <v>517</v>
      </c>
      <c r="B61" s="8" t="s">
        <v>793</v>
      </c>
      <c r="C61" s="8" t="s">
        <v>495</v>
      </c>
      <c r="D61" s="8" t="s">
        <v>116</v>
      </c>
      <c r="E61" s="9" t="s">
        <v>516</v>
      </c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9" t="s">
        <v>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12" t="s">
        <v>799</v>
      </c>
      <c r="B2" s="12"/>
      <c r="C2" s="12"/>
      <c r="D2" s="12"/>
    </row>
    <row r="4" customFormat="false" ht="15" hidden="false" customHeight="false" outlineLevel="0" collapsed="false">
      <c r="A4" s="13" t="s">
        <v>800</v>
      </c>
      <c r="B4" s="13" t="s">
        <v>801</v>
      </c>
    </row>
    <row r="5" customFormat="false" ht="15" hidden="false" customHeight="false" outlineLevel="0" collapsed="false">
      <c r="A5" s="14" t="s">
        <v>802</v>
      </c>
      <c r="B5" s="15" t="n">
        <f aca="false">COUNTA('Master Catalog'!C2:C108)</f>
        <v>107</v>
      </c>
    </row>
    <row r="6" customFormat="false" ht="15" hidden="false" customHeight="false" outlineLevel="0" collapsed="false">
      <c r="A6" s="14" t="s">
        <v>803</v>
      </c>
      <c r="B6" s="15" t="n">
        <f aca="false">COUNTIF('Master Catalog'!P2:P108,"Y")</f>
        <v>0</v>
      </c>
    </row>
    <row r="7" customFormat="false" ht="15" hidden="false" customHeight="false" outlineLevel="0" collapsed="false">
      <c r="A7" s="14" t="s">
        <v>804</v>
      </c>
      <c r="B7" s="15" t="n">
        <f aca="false">COUNTIF('Master Catalog'!F2:F108,"?*")</f>
        <v>22</v>
      </c>
    </row>
    <row r="8" customFormat="false" ht="15" hidden="false" customHeight="false" outlineLevel="0" collapsed="false">
      <c r="A8" s="14" t="s">
        <v>805</v>
      </c>
      <c r="B8" s="15" t="n">
        <f aca="false">COUNTIF('Master Catalog'!G2:G108,"Yes")</f>
        <v>19</v>
      </c>
    </row>
    <row r="9" customFormat="false" ht="15" hidden="false" customHeight="false" outlineLevel="0" collapsed="false">
      <c r="A9" s="14" t="s">
        <v>806</v>
      </c>
      <c r="B9" s="15" t="n">
        <f aca="false">COUNTIF('Master Catalog'!I2:I108,"?*")</f>
        <v>39</v>
      </c>
    </row>
    <row r="10" customFormat="false" ht="15" hidden="false" customHeight="false" outlineLevel="0" collapsed="false">
      <c r="A10" s="14" t="s">
        <v>807</v>
      </c>
      <c r="B10" s="15" t="n">
        <f aca="false">COUNTA(NAACCR!A2:A24)</f>
        <v>23</v>
      </c>
    </row>
    <row r="11" customFormat="false" ht="15" hidden="false" customHeight="false" outlineLevel="0" collapsed="false">
      <c r="A11" s="14" t="s">
        <v>808</v>
      </c>
      <c r="B11" s="15" t="n">
        <f aca="false">COUNTA(Harmonized!C2:C61)</f>
        <v>60</v>
      </c>
    </row>
    <row r="12" customFormat="false" ht="15" hidden="false" customHeight="false" outlineLevel="0" collapsed="false">
      <c r="A12" s="14" t="s">
        <v>809</v>
      </c>
      <c r="B12" s="15" t="n">
        <f aca="false">COUNTA('AoU - The Basics'!C2:C25)</f>
        <v>24</v>
      </c>
    </row>
    <row r="13" customFormat="false" ht="15" hidden="false" customHeight="false" outlineLevel="0" collapsed="false">
      <c r="A13" s="14" t="s">
        <v>810</v>
      </c>
      <c r="B13" s="15" t="n">
        <f aca="false">COUNTA('REDCap Import Template'!A2:A61)</f>
        <v>60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2026-06-13T18:31:48Z</dcterms:created>
  <dc:creator>openpyxl</dc:creator>
  <dc:description/>
  <dc:language>en-US</dc:language>
  <cp:lastModifiedBy/>
  <dcterms:modified xsi:type="dcterms:W3CDTF">2026-06-13T18:31:48Z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